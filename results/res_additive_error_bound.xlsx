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学会\202608_USENIX\paper\fig\"/>
    </mc:Choice>
  </mc:AlternateContent>
  <xr:revisionPtr revIDLastSave="0" documentId="13_ncr:1_{04892702-7887-4DF6-BC2C-4402D79C7E48}" xr6:coauthVersionLast="47" xr6:coauthVersionMax="47" xr10:uidLastSave="{00000000-0000-0000-0000-000000000000}"/>
  <bookViews>
    <workbookView xWindow="-28920" yWindow="3525" windowWidth="29040" windowHeight="16440" tabRatio="725" xr2:uid="{98CA7249-9A44-4F5A-9729-78EDB7BBF23E}"/>
  </bookViews>
  <sheets>
    <sheet name="results" sheetId="6" r:id="rId1"/>
    <sheet name="b=0.1n, n gamma=100" sheetId="2" r:id="rId2"/>
    <sheet name="b=n, n gamma=100" sheetId="1" r:id="rId3"/>
    <sheet name="b=0.1n, n gamma=200" sheetId="4" r:id="rId4"/>
    <sheet name="b=n, n gamma=200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3" i="2" l="1"/>
  <c r="B11" i="2"/>
  <c r="B12" i="2" s="1"/>
  <c r="B18" i="2" s="1"/>
  <c r="B3" i="5"/>
  <c r="B10" i="5" s="1"/>
  <c r="B11" i="5" s="1"/>
  <c r="B12" i="5" s="1"/>
  <c r="B3" i="4"/>
  <c r="B13" i="4"/>
  <c r="B14" i="4" s="1"/>
  <c r="B15" i="4" s="1"/>
  <c r="B2" i="5"/>
  <c r="C22" i="5" s="1"/>
  <c r="B7" i="5" a="1"/>
  <c r="B7" i="5" s="1"/>
  <c r="B6" i="5" s="1"/>
  <c r="B13" i="5"/>
  <c r="B14" i="5" s="1"/>
  <c r="B15" i="5" s="1"/>
  <c r="D22" i="4"/>
  <c r="B7" i="4" a="1"/>
  <c r="B7" i="4" s="1"/>
  <c r="B6" i="4" s="1"/>
  <c r="B2" i="4"/>
  <c r="D18" i="4" s="1"/>
  <c r="B2" i="2"/>
  <c r="B7" i="2" a="1"/>
  <c r="B7" i="2" s="1"/>
  <c r="B6" i="2" s="1"/>
  <c r="B3" i="2"/>
  <c r="B14" i="2" s="1"/>
  <c r="B15" i="2" s="1"/>
  <c r="B2" i="1"/>
  <c r="D19" i="1" s="1"/>
  <c r="B3" i="1"/>
  <c r="D22" i="1"/>
  <c r="B7" i="1" a="1"/>
  <c r="B7" i="1" s="1"/>
  <c r="B6" i="1" s="1"/>
  <c r="B9" i="5" l="1"/>
  <c r="C18" i="5"/>
  <c r="E21" i="5"/>
  <c r="E18" i="5"/>
  <c r="D22" i="5"/>
  <c r="E20" i="5"/>
  <c r="D19" i="5"/>
  <c r="E22" i="5"/>
  <c r="E19" i="5"/>
  <c r="C20" i="5"/>
  <c r="D20" i="5"/>
  <c r="D21" i="5"/>
  <c r="D18" i="5"/>
  <c r="D20" i="4"/>
  <c r="E18" i="4"/>
  <c r="E20" i="4"/>
  <c r="E22" i="4"/>
  <c r="C22" i="4"/>
  <c r="B10" i="4"/>
  <c r="B11" i="4" s="1"/>
  <c r="B12" i="4" s="1"/>
  <c r="B22" i="5"/>
  <c r="B19" i="5"/>
  <c r="B21" i="5"/>
  <c r="C19" i="5"/>
  <c r="C21" i="5"/>
  <c r="B18" i="5"/>
  <c r="B20" i="5"/>
  <c r="C19" i="4"/>
  <c r="C21" i="4"/>
  <c r="D19" i="4"/>
  <c r="D21" i="4"/>
  <c r="E19" i="4"/>
  <c r="E21" i="4"/>
  <c r="B9" i="4"/>
  <c r="C18" i="4"/>
  <c r="C20" i="4"/>
  <c r="B10" i="2"/>
  <c r="D22" i="2"/>
  <c r="E18" i="2"/>
  <c r="D20" i="2"/>
  <c r="E20" i="2"/>
  <c r="E22" i="2"/>
  <c r="D18" i="2"/>
  <c r="E19" i="2"/>
  <c r="E21" i="2"/>
  <c r="B9" i="2"/>
  <c r="B21" i="2" s="1"/>
  <c r="C18" i="2"/>
  <c r="C20" i="2"/>
  <c r="C22" i="2"/>
  <c r="C19" i="2"/>
  <c r="C21" i="2"/>
  <c r="D19" i="2"/>
  <c r="D21" i="2"/>
  <c r="E22" i="1"/>
  <c r="E19" i="1"/>
  <c r="E20" i="1"/>
  <c r="D21" i="1"/>
  <c r="D20" i="1"/>
  <c r="E21" i="1"/>
  <c r="D18" i="1"/>
  <c r="E18" i="1"/>
  <c r="C21" i="1"/>
  <c r="B13" i="1"/>
  <c r="B14" i="1" s="1"/>
  <c r="B15" i="1" s="1"/>
  <c r="C18" i="1"/>
  <c r="C19" i="1"/>
  <c r="C20" i="1"/>
  <c r="C22" i="1"/>
  <c r="B10" i="1"/>
  <c r="B11" i="1" s="1"/>
  <c r="B12" i="1" s="1"/>
  <c r="B9" i="1"/>
  <c r="B22" i="4" l="1"/>
  <c r="B20" i="4"/>
  <c r="B18" i="4"/>
  <c r="B21" i="4"/>
  <c r="B19" i="4"/>
  <c r="B19" i="2"/>
  <c r="B22" i="2"/>
  <c r="B20" i="2"/>
  <c r="B19" i="1"/>
  <c r="B18" i="1"/>
  <c r="B22" i="1"/>
  <c r="B20" i="1"/>
  <c r="B2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<sst xmlns="http://schemas.openxmlformats.org/spreadsheetml/2006/main" count="74" uniqueCount="20">
  <si>
    <t>n</t>
    <phoneticPr fontId="1"/>
  </si>
  <si>
    <t>b</t>
    <phoneticPr fontId="1"/>
  </si>
  <si>
    <t>gamma</t>
    <phoneticPr fontId="1"/>
  </si>
  <si>
    <t>phi</t>
    <phoneticPr fontId="1"/>
  </si>
  <si>
    <t>tau</t>
    <phoneticPr fontId="1"/>
  </si>
  <si>
    <t>Our bound</t>
    <phoneticPr fontId="1"/>
  </si>
  <si>
    <t>GGK+21</t>
    <phoneticPr fontId="1"/>
  </si>
  <si>
    <t>d_5</t>
    <phoneticPr fontId="1"/>
  </si>
  <si>
    <t>2/(b\gamma)</t>
    <phoneticPr fontId="1"/>
  </si>
  <si>
    <t>phi+gamma/2</t>
    <phoneticPr fontId="1"/>
  </si>
  <si>
    <t>KL_1</t>
    <phoneticPr fontId="1"/>
  </si>
  <si>
    <t>KL_2</t>
    <phoneticPr fontId="1"/>
  </si>
  <si>
    <t>phi-gamma</t>
    <phoneticPr fontId="1"/>
  </si>
  <si>
    <t>d_6</t>
    <phoneticPr fontId="1"/>
  </si>
  <si>
    <t>delta</t>
    <phoneticPr fontId="1"/>
  </si>
  <si>
    <t>epsilon (tau=1)</t>
    <phoneticPr fontId="1"/>
  </si>
  <si>
    <t>GGK+21 (3rd term)</t>
    <phoneticPr fontId="1"/>
  </si>
  <si>
    <t>GGK+21 (2nd term)</t>
    <phoneticPr fontId="1"/>
  </si>
  <si>
    <t>gamma = 100/n</t>
    <phoneticPr fontId="1"/>
  </si>
  <si>
    <t>gamma = 200/n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</si>
</sst>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u/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8692038495188095E-2"/>
          <c:y val="2.7777777777777776E-2"/>
          <c:w val="0.87353018372703417"/>
          <c:h val="0.84130358705161856"/>
        </c:manualLayout>
      </c:layout>
      <c:lineChart>
        <c:grouping val="standard"/>
        <c:varyColors val="0"/>
        <c:ser>
          <c:idx val="0"/>
          <c:order val="0"/>
          <c:tx>
            <c:v>Our bound (b=n/10)</c:v>
          </c:tx>
          <c:spPr>
            <a:ln w="952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'b=0.1n, n gamma=100'!$A$18:$A$22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'b=0.1n, n gamma=100'!$B$18:$B$22</c:f>
              <c:numCache>
                <c:formatCode>General</c:formatCode>
                <c:ptCount val="5"/>
                <c:pt idx="0">
                  <c:v>0.20365522800106245</c:v>
                </c:pt>
                <c:pt idx="1">
                  <c:v>0.33091636588792372</c:v>
                </c:pt>
                <c:pt idx="2">
                  <c:v>0.40289834356110588</c:v>
                </c:pt>
                <c:pt idx="3">
                  <c:v>0.43488003391675484</c:v>
                </c:pt>
                <c:pt idx="4">
                  <c:v>0.43791730870421453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41-4C36-9C52-0C0F0405245B}"/>
            </c:ext>
          </c:extLst>
        </c:ser>
        <c:ser>
          <c:idx val="2"/>
          <c:order val="1"/>
          <c:tx>
            <c:v>Our bound (b=n)</c:v>
          </c:tx>
          <c:spPr>
            <a:ln w="9525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7"/>
            <c:spPr>
              <a:noFill/>
              <a:ln w="9525">
                <a:solidFill>
                  <a:srgbClr val="C00000"/>
                </a:solidFill>
              </a:ln>
              <a:effectLst/>
            </c:spPr>
          </c:marker>
          <c:val>
            <c:numRef>
              <c:f>'b=n, n gamma=100'!$B$18:$B$22</c:f>
              <c:numCache>
                <c:formatCode>General</c:formatCode>
                <c:ptCount val="5"/>
                <c:pt idx="0">
                  <c:v>0.38365522800106239</c:v>
                </c:pt>
                <c:pt idx="1">
                  <c:v>0.55901423486149537</c:v>
                </c:pt>
                <c:pt idx="2">
                  <c:v>0.62114233452062562</c:v>
                </c:pt>
                <c:pt idx="3">
                  <c:v>0.6217175251763134</c:v>
                </c:pt>
                <c:pt idx="4">
                  <c:v>0.58883223494006287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41-4C36-9C52-0C0F0405245B}"/>
            </c:ext>
          </c:extLst>
        </c:ser>
        <c:ser>
          <c:idx val="1"/>
          <c:order val="2"/>
          <c:tx>
            <c:v>GGK+21 (b=n/10)</c:v>
          </c:tx>
          <c:spPr>
            <a:ln w="9525" cap="rnd">
              <a:solidFill>
                <a:srgbClr val="0070C0"/>
              </a:solidFill>
              <a:round/>
            </a:ln>
            <a:effectLst/>
          </c:spPr>
          <c:marker>
            <c:symbol val="x"/>
            <c:size val="7"/>
            <c:spPr>
              <a:noFill/>
              <a:ln w="9525">
                <a:solidFill>
                  <a:srgbClr val="0070C0"/>
                </a:solidFill>
              </a:ln>
              <a:effectLst/>
            </c:spPr>
          </c:marker>
          <c:cat>
            <c:numRef>
              <c:f>'b=0.1n, n gamma=100'!$A$18:$A$22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'b=0.1n, n gamma=100'!$C$18:$C$22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B41-4C36-9C52-0C0F0405245B}"/>
            </c:ext>
          </c:extLst>
        </c:ser>
        <c:ser>
          <c:idx val="3"/>
          <c:order val="3"/>
          <c:tx>
            <c:v>GGK+21 (b=n)</c:v>
          </c:tx>
          <c:spPr>
            <a:ln w="9525" cap="rnd">
              <a:solidFill>
                <a:srgbClr val="002060"/>
              </a:solidFill>
              <a:round/>
            </a:ln>
            <a:effectLst/>
          </c:spPr>
          <c:marker>
            <c:symbol val="square"/>
            <c:size val="7"/>
            <c:spPr>
              <a:noFill/>
              <a:ln w="9525">
                <a:solidFill>
                  <a:srgbClr val="002060"/>
                </a:solidFill>
              </a:ln>
              <a:effectLst/>
            </c:spPr>
          </c:marker>
          <c:val>
            <c:numRef>
              <c:f>'b=n, n gamma=100'!$C$18:$C$22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B41-4C36-9C52-0C0F040524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997471"/>
        <c:axId val="110074159"/>
      </c:lineChart>
      <c:catAx>
        <c:axId val="1059974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tau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0074159"/>
        <c:crosses val="autoZero"/>
        <c:auto val="1"/>
        <c:lblAlgn val="ctr"/>
        <c:lblOffset val="100"/>
        <c:noMultiLvlLbl val="0"/>
      </c:catAx>
      <c:valAx>
        <c:axId val="110074159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Probability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5997471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5868897637795278"/>
          <c:y val="0.61631889763779524"/>
          <c:w val="0.3563064304461942"/>
          <c:h val="0.179977398658500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8692038495188095E-2"/>
          <c:y val="2.7777777777777776E-2"/>
          <c:w val="0.87353018372703417"/>
          <c:h val="0.84130358705161856"/>
        </c:manualLayout>
      </c:layout>
      <c:lineChart>
        <c:grouping val="standard"/>
        <c:varyColors val="0"/>
        <c:ser>
          <c:idx val="0"/>
          <c:order val="0"/>
          <c:tx>
            <c:v>Our bound (b=n/10)</c:v>
          </c:tx>
          <c:spPr>
            <a:ln w="952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'b=0.1n, n gamma=100'!$A$18:$A$22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'b=0.1n, n gamma=200'!$B$18:$B$22</c:f>
              <c:numCache>
                <c:formatCode>General</c:formatCode>
                <c:ptCount val="5"/>
                <c:pt idx="0">
                  <c:v>0.824020343701927</c:v>
                </c:pt>
                <c:pt idx="1">
                  <c:v>0.96898910744197819</c:v>
                </c:pt>
                <c:pt idx="2">
                  <c:v>0.99447593465264883</c:v>
                </c:pt>
                <c:pt idx="3">
                  <c:v>0.99893942051771456</c:v>
                </c:pt>
                <c:pt idx="4">
                  <c:v>0.99970376244377035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0F-46D9-B5BB-8BE17F1FFD24}"/>
            </c:ext>
          </c:extLst>
        </c:ser>
        <c:ser>
          <c:idx val="2"/>
          <c:order val="1"/>
          <c:tx>
            <c:v>Our bound (b=n)</c:v>
          </c:tx>
          <c:spPr>
            <a:ln w="9525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7"/>
            <c:spPr>
              <a:noFill/>
              <a:ln w="9525">
                <a:solidFill>
                  <a:srgbClr val="C00000"/>
                </a:solidFill>
              </a:ln>
              <a:effectLst/>
            </c:spPr>
          </c:marker>
          <c:val>
            <c:numRef>
              <c:f>'b=n, n gamma=200'!$B$18:$B$22</c:f>
              <c:numCache>
                <c:formatCode>General</c:formatCode>
                <c:ptCount val="5"/>
                <c:pt idx="0">
                  <c:v>0.91402034370192697</c:v>
                </c:pt>
                <c:pt idx="1">
                  <c:v>0.99256085257877025</c:v>
                </c:pt>
                <c:pt idx="2">
                  <c:v>0.99928841105926458</c:v>
                </c:pt>
                <c:pt idx="3">
                  <c:v>0.99984334917279549</c:v>
                </c:pt>
                <c:pt idx="4">
                  <c:v>0.99986772501330523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B0F-46D9-B5BB-8BE17F1FFD24}"/>
            </c:ext>
          </c:extLst>
        </c:ser>
        <c:ser>
          <c:idx val="1"/>
          <c:order val="2"/>
          <c:tx>
            <c:v>GGK+21 (b=n/10)</c:v>
          </c:tx>
          <c:spPr>
            <a:ln w="9525" cap="rnd">
              <a:solidFill>
                <a:srgbClr val="0070C0"/>
              </a:solidFill>
              <a:round/>
            </a:ln>
            <a:effectLst/>
          </c:spPr>
          <c:marker>
            <c:symbol val="x"/>
            <c:size val="7"/>
            <c:spPr>
              <a:noFill/>
              <a:ln w="9525">
                <a:solidFill>
                  <a:srgbClr val="0070C0"/>
                </a:solidFill>
              </a:ln>
              <a:effectLst/>
            </c:spPr>
          </c:marker>
          <c:cat>
            <c:numRef>
              <c:f>'b=0.1n, n gamma=100'!$A$18:$A$22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'b=0.1n, n gamma=200'!$C$18:$C$22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B0F-46D9-B5BB-8BE17F1FFD24}"/>
            </c:ext>
          </c:extLst>
        </c:ser>
        <c:ser>
          <c:idx val="3"/>
          <c:order val="3"/>
          <c:tx>
            <c:v>GGK+21 (b=n)</c:v>
          </c:tx>
          <c:spPr>
            <a:ln w="9525" cap="rnd">
              <a:solidFill>
                <a:srgbClr val="002060"/>
              </a:solidFill>
              <a:round/>
            </a:ln>
            <a:effectLst/>
          </c:spPr>
          <c:marker>
            <c:symbol val="square"/>
            <c:size val="7"/>
            <c:spPr>
              <a:noFill/>
              <a:ln w="9525">
                <a:solidFill>
                  <a:srgbClr val="002060"/>
                </a:solidFill>
              </a:ln>
              <a:effectLst/>
            </c:spPr>
          </c:marker>
          <c:val>
            <c:numRef>
              <c:f>'b=n, n gamma=200'!$C$18:$C$22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B0F-46D9-B5BB-8BE17F1FF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997471"/>
        <c:axId val="110074159"/>
      </c:lineChart>
      <c:catAx>
        <c:axId val="1059974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tau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0074159"/>
        <c:crosses val="autoZero"/>
        <c:auto val="1"/>
        <c:lblAlgn val="ctr"/>
        <c:lblOffset val="100"/>
        <c:noMultiLvlLbl val="0"/>
      </c:catAx>
      <c:valAx>
        <c:axId val="110074159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Probability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5997471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5868897637795278"/>
          <c:y val="0.61631889763779524"/>
          <c:w val="0.3563064304461942"/>
          <c:h val="0.179977398658500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1</xdr:row>
      <xdr:rowOff>47625</xdr:rowOff>
    </xdr:from>
    <xdr:to>
      <xdr:col>6</xdr:col>
      <xdr:colOff>552451</xdr:colOff>
      <xdr:row>13</xdr:row>
      <xdr:rowOff>104775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6F815A13-D8D3-46E1-8509-F4B7827574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95250</xdr:colOff>
      <xdr:row>1</xdr:row>
      <xdr:rowOff>38100</xdr:rowOff>
    </xdr:from>
    <xdr:to>
      <xdr:col>13</xdr:col>
      <xdr:colOff>552451</xdr:colOff>
      <xdr:row>13</xdr:row>
      <xdr:rowOff>95250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87DBD8B9-CDA6-44B1-82AC-51F60B3DCC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98576-137A-4BB3-86D9-0E03FC012A9E}">
  <dimension ref="A1:H1"/>
  <sheetViews>
    <sheetView tabSelected="1" workbookViewId="0"/>
  </sheetViews>
  <sheetFormatPr defaultRowHeight="17.649999999999999" x14ac:dyDescent="0.7"/>
  <sheetData>
    <row r="1" spans="1:8" x14ac:dyDescent="0.7">
      <c r="A1" s="1" t="s">
        <v>18</v>
      </c>
      <c r="H1" s="1" t="s">
        <v>19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F9D2C-ACC0-4315-AB21-1A38F21D3733}">
  <dimension ref="A1:E22"/>
  <sheetViews>
    <sheetView zoomScaleNormal="100" workbookViewId="0"/>
  </sheetViews>
  <sheetFormatPr defaultRowHeight="17.649999999999999" x14ac:dyDescent="0.7"/>
  <cols>
    <col min="1" max="1" width="14.1875" bestFit="1" customWidth="1"/>
    <col min="2" max="2" width="12.625" bestFit="1" customWidth="1"/>
    <col min="3" max="3" width="12.6875" bestFit="1" customWidth="1"/>
    <col min="4" max="5" width="17.625" bestFit="1" customWidth="1"/>
  </cols>
  <sheetData>
    <row r="1" spans="1:2" x14ac:dyDescent="0.7">
      <c r="A1" t="s">
        <v>0</v>
      </c>
      <c r="B1">
        <v>10000</v>
      </c>
    </row>
    <row r="2" spans="1:2" x14ac:dyDescent="0.7">
      <c r="A2" t="s">
        <v>1</v>
      </c>
      <c r="B2">
        <f>0.1*B1</f>
        <v>1000</v>
      </c>
    </row>
    <row r="3" spans="1:2" x14ac:dyDescent="0.7">
      <c r="A3" t="s">
        <v>2</v>
      </c>
      <c r="B3">
        <f>100/B1</f>
        <v>0.01</v>
      </c>
    </row>
    <row r="4" spans="1:2" x14ac:dyDescent="0.7">
      <c r="A4" t="s">
        <v>3</v>
      </c>
      <c r="B4">
        <v>0.26</v>
      </c>
    </row>
    <row r="6" spans="1:2" x14ac:dyDescent="0.7">
      <c r="A6" t="s">
        <v>15</v>
      </c>
      <c r="B6">
        <f>SQRT(90*LN(2/B7)/(B4*B1))</f>
        <v>0.99017775146376252</v>
      </c>
    </row>
    <row r="7" spans="1:2" x14ac:dyDescent="0.7">
      <c r="A7" t="s">
        <v>14</v>
      </c>
      <c r="B7" cm="1">
        <f t="array" ref="B7">10^{-12}</f>
        <v>9.9999999999999998E-13</v>
      </c>
    </row>
    <row r="9" spans="1:2" x14ac:dyDescent="0.7">
      <c r="A9" t="s">
        <v>8</v>
      </c>
      <c r="B9">
        <f>2/($B$2*$B$3)</f>
        <v>0.2</v>
      </c>
    </row>
    <row r="10" spans="1:2" x14ac:dyDescent="0.7">
      <c r="A10" t="s">
        <v>9</v>
      </c>
      <c r="B10">
        <f>B4+(B3/2)</f>
        <v>0.26500000000000001</v>
      </c>
    </row>
    <row r="11" spans="1:2" x14ac:dyDescent="0.7">
      <c r="A11" t="s">
        <v>10</v>
      </c>
      <c r="B11">
        <f>B10*LN(B10/B4)+(1-B10)*LN((1-B10)/(1-B4))</f>
        <v>6.4701732980598434E-5</v>
      </c>
    </row>
    <row r="12" spans="1:2" x14ac:dyDescent="0.7">
      <c r="A12" t="s">
        <v>7</v>
      </c>
      <c r="B12">
        <f>EXP(-B1*B11)</f>
        <v>0.52360519159325514</v>
      </c>
    </row>
    <row r="13" spans="1:2" x14ac:dyDescent="0.7">
      <c r="A13" t="s">
        <v>12</v>
      </c>
      <c r="B13">
        <f>B4-B3</f>
        <v>0.25</v>
      </c>
    </row>
    <row r="14" spans="1:2" x14ac:dyDescent="0.7">
      <c r="A14" t="s">
        <v>11</v>
      </c>
      <c r="B14">
        <f>B13*LN(B13/B4)+(1-B13)*LN((1-B13)/(1-B4))</f>
        <v>2.6208696078523254E-4</v>
      </c>
    </row>
    <row r="15" spans="1:2" x14ac:dyDescent="0.7">
      <c r="A15" t="s">
        <v>13</v>
      </c>
      <c r="B15">
        <f>EXP(-B1*B14)</f>
        <v>7.2739580405682472E-2</v>
      </c>
    </row>
    <row r="17" spans="1:5" x14ac:dyDescent="0.7">
      <c r="A17" t="s">
        <v>4</v>
      </c>
      <c r="B17" t="s">
        <v>5</v>
      </c>
      <c r="C17" t="s">
        <v>6</v>
      </c>
      <c r="D17" t="s">
        <v>17</v>
      </c>
      <c r="E17" t="s">
        <v>16</v>
      </c>
    </row>
    <row r="18" spans="1:5" x14ac:dyDescent="0.7">
      <c r="A18">
        <v>1</v>
      </c>
      <c r="B18">
        <f>1-($B$9+$B$12)^A18-A18*$B$15</f>
        <v>0.20365522800106245</v>
      </c>
      <c r="C18">
        <f>MAX(1 - ($B$1/$B$2)^A18 - 2^(LOG(2*$B$2*A18,2)-$B$3*$B$3*$B$1/(3*$B$4)), 0)</f>
        <v>0</v>
      </c>
      <c r="D18">
        <f>($B$1/$B$2)^A18</f>
        <v>10</v>
      </c>
      <c r="E18">
        <f>2^(LOG(2*$B$2*A18,2)-$B$3*$B$3*$B$1/(3*$B$4))</f>
        <v>822.42083441429043</v>
      </c>
    </row>
    <row r="19" spans="1:5" x14ac:dyDescent="0.7">
      <c r="A19">
        <v>2</v>
      </c>
      <c r="B19">
        <f t="shared" ref="B19:B22" si="0">1-($B$9+$B$12)^A19-A19*$B$15</f>
        <v>0.33091636588792372</v>
      </c>
      <c r="C19">
        <f>MAX(1 - ($B$1/$B$2)^A19 - 2^(LOG(2*$B$2*A19,2)-$B$3*$B$3*$B$1/(3*$B$4)), 0)</f>
        <v>0</v>
      </c>
      <c r="D19">
        <f t="shared" ref="D19:D22" si="1">($B$1/$B$2)^A19</f>
        <v>100</v>
      </c>
      <c r="E19">
        <f t="shared" ref="E19:E22" si="2">2^(LOG(2*$B$2*A19,2)-$B$3*$B$3*$B$1/(3*$B$4))</f>
        <v>1644.8416688285795</v>
      </c>
    </row>
    <row r="20" spans="1:5" x14ac:dyDescent="0.7">
      <c r="A20">
        <v>3</v>
      </c>
      <c r="B20">
        <f t="shared" si="0"/>
        <v>0.40289834356110588</v>
      </c>
      <c r="C20">
        <f>MAX(1 - ($B$1/$B$2)^A20 - 2^(LOG(2*$B$2*A20,2)-$B$3*$B$3*$B$1/(3*$B$4)), 0)</f>
        <v>0</v>
      </c>
      <c r="D20">
        <f t="shared" si="1"/>
        <v>1000</v>
      </c>
      <c r="E20">
        <f t="shared" si="2"/>
        <v>2467.2625032428718</v>
      </c>
    </row>
    <row r="21" spans="1:5" x14ac:dyDescent="0.7">
      <c r="A21">
        <v>4</v>
      </c>
      <c r="B21">
        <f>1-($B$9+$B$12)^A21-A21*$B$15</f>
        <v>0.43488003391675484</v>
      </c>
      <c r="C21">
        <f>MAX(1 - ($B$1/$B$2)^A21 - 2^(LOG(2*$B$2*A21,2)-$B$3*$B$3*$B$1/(3*$B$4)), 0)</f>
        <v>0</v>
      </c>
      <c r="D21">
        <f t="shared" si="1"/>
        <v>10000</v>
      </c>
      <c r="E21">
        <f t="shared" si="2"/>
        <v>3289.6833376571594</v>
      </c>
    </row>
    <row r="22" spans="1:5" x14ac:dyDescent="0.7">
      <c r="A22">
        <v>5</v>
      </c>
      <c r="B22">
        <f t="shared" si="0"/>
        <v>0.43791730870421453</v>
      </c>
      <c r="C22">
        <f>MAX(1 - ($B$1/$B$2)^A22 - 2^(LOG(2*$B$2*A22,2)-$B$3*$B$3*$B$1/(3*$B$4)), 0)</f>
        <v>0</v>
      </c>
      <c r="D22">
        <f t="shared" si="1"/>
        <v>100000</v>
      </c>
      <c r="E22">
        <f t="shared" si="2"/>
        <v>4112.1041720714602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0E4DB-499D-4F1E-8563-22BC4289D80E}">
  <dimension ref="A1:E22"/>
  <sheetViews>
    <sheetView workbookViewId="0"/>
  </sheetViews>
  <sheetFormatPr defaultRowHeight="17.649999999999999" x14ac:dyDescent="0.7"/>
  <cols>
    <col min="1" max="1" width="14.1875" bestFit="1" customWidth="1"/>
    <col min="2" max="2" width="12.625" bestFit="1" customWidth="1"/>
    <col min="3" max="3" width="12.6875" bestFit="1" customWidth="1"/>
    <col min="4" max="5" width="17.625" bestFit="1" customWidth="1"/>
  </cols>
  <sheetData>
    <row r="1" spans="1:2" x14ac:dyDescent="0.7">
      <c r="A1" t="s">
        <v>0</v>
      </c>
      <c r="B1">
        <v>10000</v>
      </c>
    </row>
    <row r="2" spans="1:2" x14ac:dyDescent="0.7">
      <c r="A2" t="s">
        <v>1</v>
      </c>
      <c r="B2">
        <f>B1</f>
        <v>10000</v>
      </c>
    </row>
    <row r="3" spans="1:2" x14ac:dyDescent="0.7">
      <c r="A3" t="s">
        <v>2</v>
      </c>
      <c r="B3">
        <f>100/B1</f>
        <v>0.01</v>
      </c>
    </row>
    <row r="4" spans="1:2" x14ac:dyDescent="0.7">
      <c r="A4" t="s">
        <v>3</v>
      </c>
      <c r="B4">
        <v>0.26</v>
      </c>
    </row>
    <row r="6" spans="1:2" x14ac:dyDescent="0.7">
      <c r="A6" t="s">
        <v>15</v>
      </c>
      <c r="B6">
        <f>SQRT(90*LN(2/B7)/(B4*B1))</f>
        <v>0.99017775146376252</v>
      </c>
    </row>
    <row r="7" spans="1:2" x14ac:dyDescent="0.7">
      <c r="A7" t="s">
        <v>14</v>
      </c>
      <c r="B7" cm="1">
        <f t="array" ref="B7">10^{-12}</f>
        <v>9.9999999999999998E-13</v>
      </c>
    </row>
    <row r="9" spans="1:2" x14ac:dyDescent="0.7">
      <c r="A9" t="s">
        <v>8</v>
      </c>
      <c r="B9">
        <f>2/($B$2*$B$3)</f>
        <v>0.02</v>
      </c>
    </row>
    <row r="10" spans="1:2" x14ac:dyDescent="0.7">
      <c r="A10" t="s">
        <v>9</v>
      </c>
      <c r="B10">
        <f>B4+(B3/2)</f>
        <v>0.26500000000000001</v>
      </c>
    </row>
    <row r="11" spans="1:2" x14ac:dyDescent="0.7">
      <c r="A11" t="s">
        <v>10</v>
      </c>
      <c r="B11">
        <f>B10*LN(B10/B4)+(1-B10)*LN((1-B10)/(1-B4))</f>
        <v>6.4701732980598434E-5</v>
      </c>
    </row>
    <row r="12" spans="1:2" x14ac:dyDescent="0.7">
      <c r="A12" t="s">
        <v>7</v>
      </c>
      <c r="B12">
        <f>EXP(-B1*B11)</f>
        <v>0.52360519159325514</v>
      </c>
    </row>
    <row r="13" spans="1:2" x14ac:dyDescent="0.7">
      <c r="A13" t="s">
        <v>12</v>
      </c>
      <c r="B13">
        <f>B4-B3</f>
        <v>0.25</v>
      </c>
    </row>
    <row r="14" spans="1:2" x14ac:dyDescent="0.7">
      <c r="A14" t="s">
        <v>11</v>
      </c>
      <c r="B14">
        <f>B13*LN(B13/B4)+(1-B13)*LN((1-B13)/(1-B4))</f>
        <v>2.6208696078523254E-4</v>
      </c>
    </row>
    <row r="15" spans="1:2" x14ac:dyDescent="0.7">
      <c r="A15" t="s">
        <v>13</v>
      </c>
      <c r="B15">
        <f>EXP(-B1*B14)</f>
        <v>7.2739580405682472E-2</v>
      </c>
    </row>
    <row r="17" spans="1:5" x14ac:dyDescent="0.7">
      <c r="A17" t="s">
        <v>4</v>
      </c>
      <c r="B17" t="s">
        <v>5</v>
      </c>
      <c r="C17" t="s">
        <v>6</v>
      </c>
      <c r="D17" t="s">
        <v>17</v>
      </c>
      <c r="E17" t="s">
        <v>16</v>
      </c>
    </row>
    <row r="18" spans="1:5" x14ac:dyDescent="0.7">
      <c r="A18">
        <v>1</v>
      </c>
      <c r="B18">
        <f>1-($B$9+$B$12)^A18-A18*$B$15</f>
        <v>0.38365522800106239</v>
      </c>
      <c r="C18">
        <f>MAX(1 - ($B$1/$B$2)^A18 - 2^(LOG(2*$B$2*A18,2)-$B$3*$B$3*$B$1/(3*$B$4)), 0)</f>
        <v>0</v>
      </c>
      <c r="D18">
        <f>($B$1/$B$2)^A18</f>
        <v>1</v>
      </c>
      <c r="E18">
        <f>2^(LOG(2*$B$2*A18,2)-$B$3*$B$3*$B$1/(3*$B$4))</f>
        <v>8224.2083441428913</v>
      </c>
    </row>
    <row r="19" spans="1:5" x14ac:dyDescent="0.7">
      <c r="A19">
        <v>2</v>
      </c>
      <c r="B19">
        <f t="shared" ref="B19:B22" si="0">1-($B$9+$B$12)^A19-A19*$B$15</f>
        <v>0.55901423486149537</v>
      </c>
      <c r="C19">
        <f>MAX(1 - ($B$1/$B$2)^A19 - 2^(LOG(2*$B$2*A19,2)-$B$3*$B$3*$B$1/(3*$B$4)), 0)</f>
        <v>0</v>
      </c>
      <c r="D19">
        <f t="shared" ref="D19:D22" si="1">($B$1/$B$2)^A19</f>
        <v>1</v>
      </c>
      <c r="E19">
        <f t="shared" ref="E19:E22" si="2">2^(LOG(2*$B$2*A19,2)-$B$3*$B$3*$B$1/(3*$B$4))</f>
        <v>16448.416688285783</v>
      </c>
    </row>
    <row r="20" spans="1:5" x14ac:dyDescent="0.7">
      <c r="A20">
        <v>3</v>
      </c>
      <c r="B20">
        <f t="shared" si="0"/>
        <v>0.62114233452062562</v>
      </c>
      <c r="C20">
        <f>MAX(1 - ($B$1/$B$2)^A20 - 2^(LOG(2*$B$2*A20,2)-$B$3*$B$3*$B$1/(3*$B$4)), 0)</f>
        <v>0</v>
      </c>
      <c r="D20">
        <f t="shared" si="1"/>
        <v>1</v>
      </c>
      <c r="E20">
        <f t="shared" si="2"/>
        <v>24672.625032428703</v>
      </c>
    </row>
    <row r="21" spans="1:5" x14ac:dyDescent="0.7">
      <c r="A21">
        <v>4</v>
      </c>
      <c r="B21">
        <f t="shared" si="0"/>
        <v>0.6217175251763134</v>
      </c>
      <c r="C21">
        <f>MAX(1 - ($B$1/$B$2)^A21 - 2^(LOG(2*$B$2*A21,2)-$B$3*$B$3*$B$1/(3*$B$4)), 0)</f>
        <v>0</v>
      </c>
      <c r="D21">
        <f t="shared" si="1"/>
        <v>1</v>
      </c>
      <c r="E21">
        <f t="shared" si="2"/>
        <v>32896.833376571689</v>
      </c>
    </row>
    <row r="22" spans="1:5" x14ac:dyDescent="0.7">
      <c r="A22">
        <v>5</v>
      </c>
      <c r="B22">
        <f t="shared" si="0"/>
        <v>0.58883223494006287</v>
      </c>
      <c r="C22">
        <f>MAX(1 - ($B$1/$B$2)^A22 - 2^(LOG(2*$B$2*A22,2)-$B$3*$B$3*$B$1/(3*$B$4)), 0)</f>
        <v>0</v>
      </c>
      <c r="D22">
        <f t="shared" si="1"/>
        <v>1</v>
      </c>
      <c r="E22">
        <f t="shared" si="2"/>
        <v>41121.041720714573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2C12C-6250-4EED-9909-08BD380CDC5E}">
  <dimension ref="A1:E22"/>
  <sheetViews>
    <sheetView workbookViewId="0"/>
  </sheetViews>
  <sheetFormatPr defaultRowHeight="17.649999999999999" x14ac:dyDescent="0.7"/>
  <cols>
    <col min="1" max="1" width="14.1875" bestFit="1" customWidth="1"/>
    <col min="2" max="2" width="12.625" bestFit="1" customWidth="1"/>
    <col min="3" max="3" width="12.6875" bestFit="1" customWidth="1"/>
    <col min="4" max="5" width="17.625" bestFit="1" customWidth="1"/>
  </cols>
  <sheetData>
    <row r="1" spans="1:2" x14ac:dyDescent="0.7">
      <c r="A1" t="s">
        <v>0</v>
      </c>
      <c r="B1">
        <v>10000</v>
      </c>
    </row>
    <row r="2" spans="1:2" x14ac:dyDescent="0.7">
      <c r="A2" t="s">
        <v>1</v>
      </c>
      <c r="B2">
        <f>0.1*B1</f>
        <v>1000</v>
      </c>
    </row>
    <row r="3" spans="1:2" x14ac:dyDescent="0.7">
      <c r="A3" t="s">
        <v>2</v>
      </c>
      <c r="B3">
        <f>200/B1</f>
        <v>0.02</v>
      </c>
    </row>
    <row r="4" spans="1:2" x14ac:dyDescent="0.7">
      <c r="A4" t="s">
        <v>3</v>
      </c>
      <c r="B4">
        <v>0.26</v>
      </c>
    </row>
    <row r="6" spans="1:2" x14ac:dyDescent="0.7">
      <c r="A6" t="s">
        <v>15</v>
      </c>
      <c r="B6">
        <f>SQRT(90*LN(2/B7)/(B4*B1))</f>
        <v>0.99017775146376252</v>
      </c>
    </row>
    <row r="7" spans="1:2" x14ac:dyDescent="0.7">
      <c r="A7" t="s">
        <v>14</v>
      </c>
      <c r="B7" cm="1">
        <f t="array" ref="B7">10^{-12}</f>
        <v>9.9999999999999998E-13</v>
      </c>
    </row>
    <row r="9" spans="1:2" x14ac:dyDescent="0.7">
      <c r="A9" t="s">
        <v>8</v>
      </c>
      <c r="B9">
        <f>2/($B$2*$B$3)</f>
        <v>0.1</v>
      </c>
    </row>
    <row r="10" spans="1:2" x14ac:dyDescent="0.7">
      <c r="A10" t="s">
        <v>9</v>
      </c>
      <c r="B10">
        <f>B4+(B3/2)</f>
        <v>0.27</v>
      </c>
    </row>
    <row r="11" spans="1:2" x14ac:dyDescent="0.7">
      <c r="A11" t="s">
        <v>10</v>
      </c>
      <c r="B11">
        <f>B10*LN(B10/B4)+(1-B10)*LN((1-B10)/(1-B4))</f>
        <v>2.5776255465034467E-4</v>
      </c>
    </row>
    <row r="12" spans="1:2" x14ac:dyDescent="0.7">
      <c r="A12" t="s">
        <v>7</v>
      </c>
      <c r="B12">
        <f>EXP(-B1*B11)</f>
        <v>7.5954139648844718E-2</v>
      </c>
    </row>
    <row r="13" spans="1:2" x14ac:dyDescent="0.7">
      <c r="A13" t="s">
        <v>12</v>
      </c>
      <c r="B13">
        <f>B4-B3</f>
        <v>0.24000000000000002</v>
      </c>
    </row>
    <row r="14" spans="1:2" x14ac:dyDescent="0.7">
      <c r="A14" t="s">
        <v>11</v>
      </c>
      <c r="B14">
        <f>B13*LN(B13/B4)+(1-B13)*LN((1-B13)/(1-B4))</f>
        <v>1.0576179407938355E-3</v>
      </c>
    </row>
    <row r="15" spans="1:2" x14ac:dyDescent="0.7">
      <c r="A15" t="s">
        <v>13</v>
      </c>
      <c r="B15">
        <f>EXP(-B1*B14)</f>
        <v>2.5516649228336037E-5</v>
      </c>
    </row>
    <row r="17" spans="1:5" x14ac:dyDescent="0.7">
      <c r="A17" t="s">
        <v>4</v>
      </c>
      <c r="B17" t="s">
        <v>5</v>
      </c>
      <c r="C17" t="s">
        <v>6</v>
      </c>
      <c r="D17" t="s">
        <v>17</v>
      </c>
      <c r="E17" t="s">
        <v>16</v>
      </c>
    </row>
    <row r="18" spans="1:5" x14ac:dyDescent="0.7">
      <c r="A18">
        <v>1</v>
      </c>
      <c r="B18">
        <f>1-($B$9+$B$12)^A18-A18*$B$15</f>
        <v>0.824020343701927</v>
      </c>
      <c r="C18">
        <f>MAX(1 - ($B$1/$B$2)^A18 - 2^(LOG(2*$B$2*A18,2)-$B$3*$B$3*$B$1/(3*$B$4)), 0)</f>
        <v>0</v>
      </c>
      <c r="D18">
        <f>($B$1/$B$2)^A18</f>
        <v>10</v>
      </c>
      <c r="E18">
        <f>2^(LOG(2*$B$2*A18,2)-$B$3*$B$3*$B$1/(3*$B$4))</f>
        <v>57.185566555214741</v>
      </c>
    </row>
    <row r="19" spans="1:5" x14ac:dyDescent="0.7">
      <c r="A19">
        <v>2</v>
      </c>
      <c r="B19">
        <f t="shared" ref="B19:B22" si="0">1-($B$9+$B$12)^A19-A19*$B$15</f>
        <v>0.96898910744197819</v>
      </c>
      <c r="C19">
        <f>MAX(1 - ($B$1/$B$2)^A19 - 2^(LOG(2*$B$2*A19,2)-$B$3*$B$3*$B$1/(3*$B$4)), 0)</f>
        <v>0</v>
      </c>
      <c r="D19">
        <f t="shared" ref="D19:D22" si="1">($B$1/$B$2)^A19</f>
        <v>100</v>
      </c>
      <c r="E19">
        <f t="shared" ref="E19:E22" si="2">2^(LOG(2*$B$2*A19,2)-$B$3*$B$3*$B$1/(3*$B$4))</f>
        <v>114.37113311042938</v>
      </c>
    </row>
    <row r="20" spans="1:5" x14ac:dyDescent="0.7">
      <c r="A20">
        <v>3</v>
      </c>
      <c r="B20">
        <f t="shared" si="0"/>
        <v>0.99447593465264883</v>
      </c>
      <c r="C20">
        <f>MAX(1 - ($B$1/$B$2)^A20 - 2^(LOG(2*$B$2*A20,2)-$B$3*$B$3*$B$1/(3*$B$4)), 0)</f>
        <v>0</v>
      </c>
      <c r="D20">
        <f t="shared" si="1"/>
        <v>1000</v>
      </c>
      <c r="E20">
        <f t="shared" si="2"/>
        <v>171.55669966564412</v>
      </c>
    </row>
    <row r="21" spans="1:5" x14ac:dyDescent="0.7">
      <c r="A21">
        <v>4</v>
      </c>
      <c r="B21">
        <f t="shared" si="0"/>
        <v>0.99893942051771456</v>
      </c>
      <c r="C21">
        <f>MAX(1 - ($B$1/$B$2)^A21 - 2^(LOG(2*$B$2*A21,2)-$B$3*$B$3*$B$1/(3*$B$4)), 0)</f>
        <v>0</v>
      </c>
      <c r="D21">
        <f t="shared" si="1"/>
        <v>10000</v>
      </c>
      <c r="E21">
        <f t="shared" si="2"/>
        <v>228.7422662208588</v>
      </c>
    </row>
    <row r="22" spans="1:5" x14ac:dyDescent="0.7">
      <c r="A22">
        <v>5</v>
      </c>
      <c r="B22">
        <f t="shared" si="0"/>
        <v>0.99970376244377035</v>
      </c>
      <c r="C22">
        <f>MAX(1 - ($B$1/$B$2)^A22 - 2^(LOG(2*$B$2*A22,2)-$B$3*$B$3*$B$1/(3*$B$4)), 0)</f>
        <v>0</v>
      </c>
      <c r="D22">
        <f t="shared" si="1"/>
        <v>100000</v>
      </c>
      <c r="E22">
        <f t="shared" si="2"/>
        <v>285.92783277607373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435E0-971B-40F3-A044-8E0EE5E8E318}">
  <dimension ref="A1:E22"/>
  <sheetViews>
    <sheetView workbookViewId="0"/>
  </sheetViews>
  <sheetFormatPr defaultRowHeight="17.649999999999999" x14ac:dyDescent="0.7"/>
  <cols>
    <col min="1" max="1" width="14.1875" bestFit="1" customWidth="1"/>
    <col min="2" max="2" width="12.625" bestFit="1" customWidth="1"/>
    <col min="3" max="3" width="12.6875" bestFit="1" customWidth="1"/>
    <col min="4" max="5" width="17.625" bestFit="1" customWidth="1"/>
  </cols>
  <sheetData>
    <row r="1" spans="1:2" x14ac:dyDescent="0.7">
      <c r="A1" t="s">
        <v>0</v>
      </c>
      <c r="B1">
        <v>10000</v>
      </c>
    </row>
    <row r="2" spans="1:2" x14ac:dyDescent="0.7">
      <c r="A2" t="s">
        <v>1</v>
      </c>
      <c r="B2">
        <f>B1</f>
        <v>10000</v>
      </c>
    </row>
    <row r="3" spans="1:2" x14ac:dyDescent="0.7">
      <c r="A3" t="s">
        <v>2</v>
      </c>
      <c r="B3">
        <f>200/B1</f>
        <v>0.02</v>
      </c>
    </row>
    <row r="4" spans="1:2" x14ac:dyDescent="0.7">
      <c r="A4" t="s">
        <v>3</v>
      </c>
      <c r="B4">
        <v>0.26</v>
      </c>
    </row>
    <row r="6" spans="1:2" x14ac:dyDescent="0.7">
      <c r="A6" t="s">
        <v>15</v>
      </c>
      <c r="B6">
        <f>SQRT(90*LN(2/B7)/(B4*B1))</f>
        <v>0.99017775146376252</v>
      </c>
    </row>
    <row r="7" spans="1:2" x14ac:dyDescent="0.7">
      <c r="A7" t="s">
        <v>14</v>
      </c>
      <c r="B7" cm="1">
        <f t="array" ref="B7">10^{-12}</f>
        <v>9.9999999999999998E-13</v>
      </c>
    </row>
    <row r="9" spans="1:2" x14ac:dyDescent="0.7">
      <c r="A9" t="s">
        <v>8</v>
      </c>
      <c r="B9">
        <f>2/($B$2*$B$3)</f>
        <v>0.01</v>
      </c>
    </row>
    <row r="10" spans="1:2" x14ac:dyDescent="0.7">
      <c r="A10" t="s">
        <v>9</v>
      </c>
      <c r="B10">
        <f>B4+(B3/2)</f>
        <v>0.27</v>
      </c>
    </row>
    <row r="11" spans="1:2" x14ac:dyDescent="0.7">
      <c r="A11" t="s">
        <v>10</v>
      </c>
      <c r="B11">
        <f>B10*LN(B10/B4)+(1-B10)*LN((1-B10)/(1-B4))</f>
        <v>2.5776255465034467E-4</v>
      </c>
    </row>
    <row r="12" spans="1:2" x14ac:dyDescent="0.7">
      <c r="A12" t="s">
        <v>7</v>
      </c>
      <c r="B12">
        <f>EXP(-B1*B11)</f>
        <v>7.5954139648844718E-2</v>
      </c>
    </row>
    <row r="13" spans="1:2" x14ac:dyDescent="0.7">
      <c r="A13" t="s">
        <v>12</v>
      </c>
      <c r="B13">
        <f>B4-B3</f>
        <v>0.24000000000000002</v>
      </c>
    </row>
    <row r="14" spans="1:2" x14ac:dyDescent="0.7">
      <c r="A14" t="s">
        <v>11</v>
      </c>
      <c r="B14">
        <f>B13*LN(B13/B4)+(1-B13)*LN((1-B13)/(1-B4))</f>
        <v>1.0576179407938355E-3</v>
      </c>
    </row>
    <row r="15" spans="1:2" x14ac:dyDescent="0.7">
      <c r="A15" t="s">
        <v>13</v>
      </c>
      <c r="B15">
        <f>EXP(-B1*B14)</f>
        <v>2.5516649228336037E-5</v>
      </c>
    </row>
    <row r="17" spans="1:5" x14ac:dyDescent="0.7">
      <c r="A17" t="s">
        <v>4</v>
      </c>
      <c r="B17" t="s">
        <v>5</v>
      </c>
      <c r="C17" t="s">
        <v>6</v>
      </c>
      <c r="D17" t="s">
        <v>17</v>
      </c>
      <c r="E17" t="s">
        <v>16</v>
      </c>
    </row>
    <row r="18" spans="1:5" x14ac:dyDescent="0.7">
      <c r="A18">
        <v>1</v>
      </c>
      <c r="B18">
        <f>1-($B$9+$B$12)^A18-A18*$B$15</f>
        <v>0.91402034370192697</v>
      </c>
      <c r="C18">
        <f>MAX(1 - ($B$1/$B$2)^A18 - 2^(LOG(2*$B$2*A18,2)-$B$3*$B$3*$B$1/(3*$B$4)), 0)</f>
        <v>0</v>
      </c>
      <c r="D18">
        <f>($B$1/$B$2)^A18</f>
        <v>1</v>
      </c>
      <c r="E18">
        <f>2^(LOG(2*$B$2*A18,2)-$B$3*$B$3*$B$1/(3*$B$4))</f>
        <v>571.855665552147</v>
      </c>
    </row>
    <row r="19" spans="1:5" x14ac:dyDescent="0.7">
      <c r="A19">
        <v>2</v>
      </c>
      <c r="B19">
        <f t="shared" ref="B19:B22" si="0">1-($B$9+$B$12)^A19-A19*$B$15</f>
        <v>0.99256085257877025</v>
      </c>
      <c r="C19">
        <f>MAX(1 - ($B$1/$B$2)^A19 - 2^(LOG(2*$B$2*A19,2)-$B$3*$B$3*$B$1/(3*$B$4)), 0)</f>
        <v>0</v>
      </c>
      <c r="D19">
        <f t="shared" ref="D19:D22" si="1">($B$1/$B$2)^A19</f>
        <v>1</v>
      </c>
      <c r="E19">
        <f t="shared" ref="E19:E22" si="2">2^(LOG(2*$B$2*A19,2)-$B$3*$B$3*$B$1/(3*$B$4))</f>
        <v>1143.7113311042942</v>
      </c>
    </row>
    <row r="20" spans="1:5" x14ac:dyDescent="0.7">
      <c r="A20">
        <v>3</v>
      </c>
      <c r="B20">
        <f t="shared" si="0"/>
        <v>0.99928841105926458</v>
      </c>
      <c r="C20">
        <f>MAX(1 - ($B$1/$B$2)^A20 - 2^(LOG(2*$B$2*A20,2)-$B$3*$B$3*$B$1/(3*$B$4)), 0)</f>
        <v>0</v>
      </c>
      <c r="D20">
        <f t="shared" si="1"/>
        <v>1</v>
      </c>
      <c r="E20">
        <f t="shared" si="2"/>
        <v>1715.5669966564431</v>
      </c>
    </row>
    <row r="21" spans="1:5" x14ac:dyDescent="0.7">
      <c r="A21">
        <v>4</v>
      </c>
      <c r="B21">
        <f t="shared" si="0"/>
        <v>0.99984334917279549</v>
      </c>
      <c r="C21">
        <f>MAX(1 - ($B$1/$B$2)^A21 - 2^(LOG(2*$B$2*A21,2)-$B$3*$B$3*$B$1/(3*$B$4)), 0)</f>
        <v>0</v>
      </c>
      <c r="D21">
        <f t="shared" si="1"/>
        <v>1</v>
      </c>
      <c r="E21">
        <f t="shared" si="2"/>
        <v>2287.4226622085907</v>
      </c>
    </row>
    <row r="22" spans="1:5" x14ac:dyDescent="0.7">
      <c r="A22">
        <v>5</v>
      </c>
      <c r="B22">
        <f t="shared" si="0"/>
        <v>0.99986772501330523</v>
      </c>
      <c r="C22">
        <f>MAX(1 - ($B$1/$B$2)^A22 - 2^(LOG(2*$B$2*A22,2)-$B$3*$B$3*$B$1/(3*$B$4)), 0)</f>
        <v>0</v>
      </c>
      <c r="D22">
        <f t="shared" si="1"/>
        <v>1</v>
      </c>
      <c r="E22">
        <f t="shared" si="2"/>
        <v>2859.2783277607355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results</vt:lpstr>
      <vt:lpstr>b=0.1n, n gamma=100</vt:lpstr>
      <vt:lpstr>b=n, n gamma=100</vt:lpstr>
      <vt:lpstr>b=0.1n, n gamma=200</vt:lpstr>
      <vt:lpstr>b=n, n gamma=200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Takao Murakami</dc:creator>
  <cp:lastModifiedBy>Takao Murakami</cp:lastModifiedBy>
  <dcterms:created xsi:type="dcterms:W3CDTF">2026-01-09T12:35:03Z</dcterms:created>
  <dcterms:modified xsi:type="dcterms:W3CDTF">2026-02-02T13:39:48Z</dcterms:modified>
</cp:coreProperties>
</file>