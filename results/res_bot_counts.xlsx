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rog\github\organization\FODP-code\results\"/>
    </mc:Choice>
  </mc:AlternateContent>
  <xr:revisionPtr revIDLastSave="0" documentId="13_ncr:1_{BBD4811D-B430-493E-9AF4-CC0ABE6B9E7C}" xr6:coauthVersionLast="47" xr6:coauthVersionMax="47" xr10:uidLastSave="{00000000-0000-0000-0000-000000000000}"/>
  <bookViews>
    <workbookView xWindow="-98" yWindow="-98" windowWidth="21795" windowHeight="13875" tabRatio="725" xr2:uid="{98CA7249-9A44-4F5A-9729-78EDB7BBF23E}"/>
  </bookViews>
  <sheets>
    <sheet name="b=0.1, gamma=1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G3" i="2"/>
  <c r="I3" i="2"/>
  <c r="I8" i="2"/>
  <c r="I7" i="2"/>
  <c r="I6" i="2"/>
  <c r="I5" i="2"/>
  <c r="I4" i="2"/>
  <c r="G4" i="2"/>
  <c r="G5" i="2"/>
  <c r="G6" i="2"/>
  <c r="G7" i="2"/>
  <c r="G8" i="2"/>
  <c r="E4" i="2"/>
  <c r="E5" i="2"/>
  <c r="E6" i="2"/>
  <c r="E7" i="2"/>
  <c r="E8" i="2"/>
  <c r="E3" i="2"/>
</calcChain>
</file>

<file path=xl/sharedStrings.xml><?xml version="1.0" encoding="utf-8"?>
<sst xmlns="http://schemas.openxmlformats.org/spreadsheetml/2006/main" count="15" uniqueCount="9">
  <si>
    <t>E[kappa_i]</t>
    <phoneticPr fontId="1"/>
  </si>
  <si>
    <t>epsilon_I</t>
    <phoneticPr fontId="1"/>
  </si>
  <si>
    <t>FOLNF (AGeo)</t>
    <phoneticPr fontId="1"/>
  </si>
  <si>
    <t>FOLNF* (AGeo)</t>
    <phoneticPr fontId="1"/>
  </si>
  <si>
    <t>FOLNF (1Geo)</t>
    <phoneticPr fontId="1"/>
  </si>
  <si>
    <t>FOLNF* (1Geo)</t>
    <phoneticPr fontId="1"/>
  </si>
  <si>
    <t>delta_E</t>
    <phoneticPr fontId="1"/>
  </si>
  <si>
    <t>epsilon_E</t>
    <phoneticPr fontId="1"/>
  </si>
  <si>
    <t>delta_I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</si>
</sst>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6649221864009"/>
          <c:y val="5.0925925925925923E-2"/>
          <c:w val="0.78709606021799616"/>
          <c:h val="0.795476815398075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'b=0.1, gamma=100'!$D$1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gamma=100'!$D$3:$D$8</c:f>
              <c:numCache>
                <c:formatCode>General</c:formatCode>
                <c:ptCount val="6"/>
                <c:pt idx="0">
                  <c:v>1074</c:v>
                </c:pt>
                <c:pt idx="1">
                  <c:v>1074</c:v>
                </c:pt>
                <c:pt idx="2">
                  <c:v>1074</c:v>
                </c:pt>
                <c:pt idx="3">
                  <c:v>1074</c:v>
                </c:pt>
                <c:pt idx="4">
                  <c:v>1074</c:v>
                </c:pt>
                <c:pt idx="5">
                  <c:v>1074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7B-42A0-91A8-E49A162B3D87}"/>
            </c:ext>
          </c:extLst>
        </c:ser>
        <c:ser>
          <c:idx val="1"/>
          <c:order val="1"/>
          <c:tx>
            <c:strRef>
              <c:f>'b=0.1, gamma=100'!$F$1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gamma=100'!$F$3:$F$8</c:f>
              <c:numCache>
                <c:formatCode>General</c:formatCode>
                <c:ptCount val="6"/>
                <c:pt idx="0">
                  <c:v>841.00000000499995</c:v>
                </c:pt>
                <c:pt idx="1">
                  <c:v>679.00000000299997</c:v>
                </c:pt>
                <c:pt idx="2">
                  <c:v>624.00000000299997</c:v>
                </c:pt>
                <c:pt idx="3">
                  <c:v>596.00000000299997</c:v>
                </c:pt>
                <c:pt idx="4">
                  <c:v>579.00000000299997</c:v>
                </c:pt>
                <c:pt idx="5">
                  <c:v>567.00000000299997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7B-42A0-91A8-E49A162B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655695"/>
        <c:axId val="605639375"/>
      </c:scatterChart>
      <c:valAx>
        <c:axId val="605655695"/>
        <c:scaling>
          <c:orientation val="minMax"/>
          <c:max val="1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epsilon_I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5639375"/>
        <c:crosses val="autoZero"/>
        <c:crossBetween val="midCat"/>
        <c:majorUnit val="0.2"/>
      </c:valAx>
      <c:valAx>
        <c:axId val="6056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E[kappa_i]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5655695"/>
        <c:crosses val="autoZero"/>
        <c:crossBetween val="midCat"/>
        <c:majorUnit val="4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134774568710086"/>
          <c:y val="0.68580865929984713"/>
          <c:w val="0.40682846218103952"/>
          <c:h val="0.1336358509638921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6649221864009"/>
          <c:y val="5.0925925925925923E-2"/>
          <c:w val="0.78709606021799616"/>
          <c:h val="0.795476815398075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'b=0.1, gamma=100'!$H$1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gamma=100'!$H$3:$H$8</c:f>
              <c:numCache>
                <c:formatCode>General</c:formatCode>
                <c:ptCount val="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5D-4D35-A9D8-E819C64AAE81}"/>
            </c:ext>
          </c:extLst>
        </c:ser>
        <c:ser>
          <c:idx val="1"/>
          <c:order val="1"/>
          <c:tx>
            <c:strRef>
              <c:f>'b=0.1, gamma=100'!$J$1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gamma=100'!$J$3:$J$8</c:f>
              <c:numCache>
                <c:formatCode>General</c:formatCode>
                <c:ptCount val="6"/>
                <c:pt idx="0">
                  <c:v>40.729381579399998</c:v>
                </c:pt>
                <c:pt idx="1">
                  <c:v>26.363204415999999</c:v>
                </c:pt>
                <c:pt idx="2">
                  <c:v>20.574083112099999</c:v>
                </c:pt>
                <c:pt idx="3">
                  <c:v>17.6792266054</c:v>
                </c:pt>
                <c:pt idx="4">
                  <c:v>15.742076946199999</c:v>
                </c:pt>
                <c:pt idx="5">
                  <c:v>13.783781700600001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D-4D35-A9D8-E819C64A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655695"/>
        <c:axId val="605639375"/>
      </c:scatterChart>
      <c:valAx>
        <c:axId val="605655695"/>
        <c:scaling>
          <c:orientation val="minMax"/>
          <c:max val="1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epsilon_I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5639375"/>
        <c:crosses val="autoZero"/>
        <c:crossBetween val="midCat"/>
      </c:valAx>
      <c:valAx>
        <c:axId val="60563937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E[kappa_i]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5655695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195567639772081"/>
          <c:y val="7.9327034366056301E-2"/>
          <c:w val="0.39858528989679165"/>
          <c:h val="0.138265478905847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56649221864009"/>
          <c:y val="5.0925925925925923E-2"/>
          <c:w val="0.78709606021799616"/>
          <c:h val="0.795476815398075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'b=0.1, gamma=100'!$D$1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gamma=100'!$E$3:$E$8</c:f>
              <c:numCache>
                <c:formatCode>General</c:formatCode>
                <c:ptCount val="6"/>
                <c:pt idx="0">
                  <c:v>9.9999999999999998E-13</c:v>
                </c:pt>
                <c:pt idx="1">
                  <c:v>9.9999999999999998E-13</c:v>
                </c:pt>
                <c:pt idx="2">
                  <c:v>9.9999999999999998E-13</c:v>
                </c:pt>
                <c:pt idx="3">
                  <c:v>9.9999999999999998E-13</c:v>
                </c:pt>
                <c:pt idx="4">
                  <c:v>9.9999999999999998E-13</c:v>
                </c:pt>
                <c:pt idx="5">
                  <c:v>9.9999999999999998E-13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B6-4D98-AA63-6E6F64AC1163}"/>
            </c:ext>
          </c:extLst>
        </c:ser>
        <c:ser>
          <c:idx val="1"/>
          <c:order val="1"/>
          <c:tx>
            <c:strRef>
              <c:f>'b=0.1, gamma=100'!$F$1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gamma=100'!$G$3:$G$8</c:f>
              <c:numCache>
                <c:formatCode>General</c:formatCode>
                <c:ptCount val="6"/>
                <c:pt idx="0">
                  <c:v>4.9999999999999999E-13</c:v>
                </c:pt>
                <c:pt idx="1">
                  <c:v>4.9999999999999999E-13</c:v>
                </c:pt>
                <c:pt idx="2">
                  <c:v>4.9999999999999999E-13</c:v>
                </c:pt>
                <c:pt idx="3">
                  <c:v>4.9999999999999999E-13</c:v>
                </c:pt>
                <c:pt idx="4">
                  <c:v>4.9999999999999999E-13</c:v>
                </c:pt>
                <c:pt idx="5">
                  <c:v>4.9999999999999999E-13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B6-4D98-AA63-6E6F64AC1163}"/>
            </c:ext>
          </c:extLst>
        </c:ser>
        <c:ser>
          <c:idx val="2"/>
          <c:order val="2"/>
          <c:tx>
            <c:strRef>
              <c:f>'b=0.1, gamma=100'!$H$1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gamma=100'!$I$3:$I$8</c:f>
              <c:numCache>
                <c:formatCode>General</c:formatCode>
                <c:ptCount val="6"/>
                <c:pt idx="0">
                  <c:v>9.9999999999999998E-13</c:v>
                </c:pt>
                <c:pt idx="1">
                  <c:v>9.9999999999999998E-13</c:v>
                </c:pt>
                <c:pt idx="2">
                  <c:v>9.9999999999999998E-13</c:v>
                </c:pt>
                <c:pt idx="3">
                  <c:v>9.9999999999999998E-13</c:v>
                </c:pt>
                <c:pt idx="4">
                  <c:v>9.9999999999999998E-13</c:v>
                </c:pt>
                <c:pt idx="5">
                  <c:v>9.9999999999999998E-13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B6-4D98-AA63-6E6F64AC1163}"/>
            </c:ext>
          </c:extLst>
        </c:ser>
        <c:ser>
          <c:idx val="3"/>
          <c:order val="3"/>
          <c:tx>
            <c:strRef>
              <c:f>'b=0.1, gamma=100'!$J$1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'b=0.1, gamma=100'!$B$3:$B$8</c:f>
              <c:numCache>
                <c:formatCode>General</c:formatCode>
                <c:ptCount val="6"/>
                <c:pt idx="0">
                  <c:v>0.25</c:v>
                </c:pt>
                <c:pt idx="1">
                  <c:v>0.4</c:v>
                </c:pt>
                <c:pt idx="2">
                  <c:v>0.55000000000000004</c:v>
                </c:pt>
                <c:pt idx="3">
                  <c:v>0.7</c:v>
                </c:pt>
                <c:pt idx="4">
                  <c:v>0.85</c:v>
                </c:pt>
                <c:pt idx="5">
                  <c:v>1</c:v>
                </c:pt>
              </c:numCache>
            </c:numRef>
          </c:xVal>
          <c:yVal>
            <c:numRef>
              <c:f>'b=0.1, gamma=100'!$K$3:$K$8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B6-4D98-AA63-6E6F64AC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655695"/>
        <c:axId val="605639375"/>
      </c:scatterChart>
      <c:valAx>
        <c:axId val="605655695"/>
        <c:scaling>
          <c:orientation val="minMax"/>
          <c:max val="1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epsilon_I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5639375"/>
        <c:crosses val="autoZero"/>
        <c:crossBetween val="midCat"/>
        <c:majorUnit val="0.2"/>
      </c:valAx>
      <c:valAx>
        <c:axId val="605639375"/>
        <c:scaling>
          <c:orientation val="minMax"/>
          <c:max val="1.0000000000000006E-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delta_E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05655695"/>
        <c:crosses val="autoZero"/>
        <c:crossBetween val="midCat"/>
        <c:majorUnit val="5.0000000000000029E-1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72170750539743"/>
          <c:y val="0.12562367832324353"/>
          <c:w val="0.42734632705113551"/>
          <c:h val="0.2325494923631188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161365</xdr:colOff>
      <xdr:row>9</xdr:row>
      <xdr:rowOff>40480</xdr:rowOff>
    </xdr:from>
    <xdr:to>
      <xdr:col>4</xdr:col>
      <xdr:colOff>109538</xdr:colOff>
      <xdr:row>21</xdr:row>
      <xdr:rowOff>97631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446C40A-0D59-7D89-A0BC-43BEEA41E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336177</xdr:colOff>
      <xdr:row>9</xdr:row>
      <xdr:rowOff>25493</xdr:rowOff>
    </xdr:from>
    <xdr:to>
      <xdr:col>8</xdr:col>
      <xdr:colOff>144838</xdr:colOff>
      <xdr:row>21</xdr:row>
      <xdr:rowOff>82644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ADDC5C7-A9FF-4C19-AF5D-3AD7AA821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377919</xdr:colOff>
      <xdr:row>8</xdr:row>
      <xdr:rowOff>221037</xdr:rowOff>
    </xdr:from>
    <xdr:to>
      <xdr:col>12</xdr:col>
      <xdr:colOff>514070</xdr:colOff>
      <xdr:row>21</xdr:row>
      <xdr:rowOff>54350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A333705-CF7C-4AE9-AB9C-189395830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9D2C-ACC0-4315-AB21-1A38F21D3733}">
  <dimension ref="A1:K8"/>
  <sheetViews>
    <sheetView tabSelected="1" zoomScaleNormal="100" workbookViewId="0"/>
  </sheetViews>
  <sheetFormatPr defaultRowHeight="17.649999999999999" x14ac:dyDescent="0.7"/>
  <cols>
    <col min="4" max="4" width="14" bestFit="1" customWidth="1"/>
    <col min="5" max="5" width="7.25" bestFit="1" customWidth="1"/>
    <col min="6" max="6" width="14.125" bestFit="1" customWidth="1"/>
    <col min="7" max="7" width="7.25" bestFit="1" customWidth="1"/>
    <col min="8" max="8" width="14.125" bestFit="1" customWidth="1"/>
    <col min="9" max="9" width="7.25" bestFit="1" customWidth="1"/>
    <col min="10" max="10" width="15.0625" bestFit="1" customWidth="1"/>
    <col min="11" max="11" width="7.25" bestFit="1" customWidth="1"/>
  </cols>
  <sheetData>
    <row r="1" spans="1:11" x14ac:dyDescent="0.7">
      <c r="D1" s="1" t="s">
        <v>2</v>
      </c>
      <c r="F1" s="1" t="s">
        <v>3</v>
      </c>
      <c r="H1" s="1" t="s">
        <v>4</v>
      </c>
      <c r="J1" s="1" t="s">
        <v>5</v>
      </c>
    </row>
    <row r="2" spans="1:11" x14ac:dyDescent="0.7">
      <c r="A2" t="s">
        <v>7</v>
      </c>
      <c r="B2" t="s">
        <v>1</v>
      </c>
      <c r="C2" t="s">
        <v>8</v>
      </c>
      <c r="D2" t="s">
        <v>0</v>
      </c>
      <c r="E2" t="s">
        <v>6</v>
      </c>
      <c r="F2" t="s">
        <v>0</v>
      </c>
      <c r="G2" t="s">
        <v>6</v>
      </c>
      <c r="H2" t="s">
        <v>0</v>
      </c>
      <c r="I2" t="s">
        <v>6</v>
      </c>
      <c r="J2" t="s">
        <v>0</v>
      </c>
      <c r="K2" t="s">
        <v>6</v>
      </c>
    </row>
    <row r="3" spans="1:11" x14ac:dyDescent="0.7">
      <c r="A3">
        <v>0.1</v>
      </c>
      <c r="B3">
        <v>0.25</v>
      </c>
      <c r="C3">
        <f>0.000000000001</f>
        <v>9.9999999999999998E-13</v>
      </c>
      <c r="D3">
        <v>1074</v>
      </c>
      <c r="E3">
        <f>0.000000000001</f>
        <v>9.9999999999999998E-13</v>
      </c>
      <c r="F3">
        <v>841.00000000499995</v>
      </c>
      <c r="G3">
        <f>0.0000000000005</f>
        <v>4.9999999999999999E-13</v>
      </c>
      <c r="H3">
        <v>40</v>
      </c>
      <c r="I3">
        <f t="shared" ref="I3:I8" si="0">0.000000000001</f>
        <v>9.9999999999999998E-13</v>
      </c>
      <c r="J3">
        <v>40.729381579399998</v>
      </c>
      <c r="K3">
        <v>0</v>
      </c>
    </row>
    <row r="4" spans="1:11" x14ac:dyDescent="0.7">
      <c r="A4">
        <v>0.1</v>
      </c>
      <c r="B4">
        <v>0.4</v>
      </c>
      <c r="C4">
        <f>0.000000000001</f>
        <v>9.9999999999999998E-13</v>
      </c>
      <c r="D4">
        <v>1074</v>
      </c>
      <c r="E4">
        <f t="shared" ref="E4:E8" si="1">0.000000000001</f>
        <v>9.9999999999999998E-13</v>
      </c>
      <c r="F4">
        <v>679.00000000299997</v>
      </c>
      <c r="G4">
        <f t="shared" ref="G4:G8" si="2">0.0000000000005</f>
        <v>4.9999999999999999E-13</v>
      </c>
      <c r="H4">
        <v>40</v>
      </c>
      <c r="I4">
        <f t="shared" si="0"/>
        <v>9.9999999999999998E-13</v>
      </c>
      <c r="J4">
        <v>26.363204415999999</v>
      </c>
      <c r="K4">
        <v>0</v>
      </c>
    </row>
    <row r="5" spans="1:11" x14ac:dyDescent="0.7">
      <c r="A5">
        <v>0.1</v>
      </c>
      <c r="B5">
        <v>0.55000000000000004</v>
      </c>
      <c r="C5">
        <f>0.000000000001</f>
        <v>9.9999999999999998E-13</v>
      </c>
      <c r="D5">
        <v>1074</v>
      </c>
      <c r="E5">
        <f t="shared" si="1"/>
        <v>9.9999999999999998E-13</v>
      </c>
      <c r="F5">
        <v>624.00000000299997</v>
      </c>
      <c r="G5">
        <f t="shared" si="2"/>
        <v>4.9999999999999999E-13</v>
      </c>
      <c r="H5">
        <v>40</v>
      </c>
      <c r="I5">
        <f t="shared" si="0"/>
        <v>9.9999999999999998E-13</v>
      </c>
      <c r="J5">
        <v>20.574083112099999</v>
      </c>
      <c r="K5">
        <v>0</v>
      </c>
    </row>
    <row r="6" spans="1:11" x14ac:dyDescent="0.7">
      <c r="A6">
        <v>0.1</v>
      </c>
      <c r="B6">
        <v>0.7</v>
      </c>
      <c r="C6">
        <f>0.000000000001</f>
        <v>9.9999999999999998E-13</v>
      </c>
      <c r="D6">
        <v>1074</v>
      </c>
      <c r="E6">
        <f t="shared" si="1"/>
        <v>9.9999999999999998E-13</v>
      </c>
      <c r="F6">
        <v>596.00000000299997</v>
      </c>
      <c r="G6">
        <f t="shared" si="2"/>
        <v>4.9999999999999999E-13</v>
      </c>
      <c r="H6">
        <v>40</v>
      </c>
      <c r="I6">
        <f t="shared" si="0"/>
        <v>9.9999999999999998E-13</v>
      </c>
      <c r="J6">
        <v>17.6792266054</v>
      </c>
      <c r="K6">
        <v>0</v>
      </c>
    </row>
    <row r="7" spans="1:11" x14ac:dyDescent="0.7">
      <c r="A7">
        <v>0.1</v>
      </c>
      <c r="B7">
        <v>0.85</v>
      </c>
      <c r="C7">
        <f>0.000000000001</f>
        <v>9.9999999999999998E-13</v>
      </c>
      <c r="D7">
        <v>1074</v>
      </c>
      <c r="E7">
        <f t="shared" si="1"/>
        <v>9.9999999999999998E-13</v>
      </c>
      <c r="F7">
        <v>579.00000000299997</v>
      </c>
      <c r="G7">
        <f t="shared" si="2"/>
        <v>4.9999999999999999E-13</v>
      </c>
      <c r="H7">
        <v>40</v>
      </c>
      <c r="I7">
        <f t="shared" si="0"/>
        <v>9.9999999999999998E-13</v>
      </c>
      <c r="J7">
        <v>15.742076946199999</v>
      </c>
      <c r="K7">
        <v>0</v>
      </c>
    </row>
    <row r="8" spans="1:11" x14ac:dyDescent="0.7">
      <c r="A8">
        <v>0.1</v>
      </c>
      <c r="B8">
        <v>1</v>
      </c>
      <c r="C8">
        <f>0.000000000001</f>
        <v>9.9999999999999998E-13</v>
      </c>
      <c r="D8">
        <v>1074</v>
      </c>
      <c r="E8">
        <f t="shared" si="1"/>
        <v>9.9999999999999998E-13</v>
      </c>
      <c r="F8">
        <v>567.00000000299997</v>
      </c>
      <c r="G8">
        <f t="shared" si="2"/>
        <v>4.9999999999999999E-13</v>
      </c>
      <c r="H8">
        <v>40</v>
      </c>
      <c r="I8">
        <f t="shared" si="0"/>
        <v>9.9999999999999998E-13</v>
      </c>
      <c r="J8">
        <v>13.783781700600001</v>
      </c>
      <c r="K8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b=0.1, gamma=100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Murakami</dc:creator>
  <cp:lastModifiedBy>Takao Murakami</cp:lastModifiedBy>
  <dcterms:created xsi:type="dcterms:W3CDTF">2026-01-09T12:35:03Z</dcterms:created>
  <dcterms:modified xsi:type="dcterms:W3CDTF">2026-02-03T00:58:45Z</dcterms:modified>
</cp:coreProperties>
</file>