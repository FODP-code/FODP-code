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共同研究_Sei\20260126_aoilabo\"/>
    </mc:Choice>
  </mc:AlternateContent>
  <xr:revisionPtr revIDLastSave="0" documentId="13_ncr:1_{AD738ACF-2307-40E1-A336-5F176A342B63}" xr6:coauthVersionLast="47" xr6:coauthVersionMax="47" xr10:uidLastSave="{00000000-0000-0000-0000-000000000000}"/>
  <bookViews>
    <workbookView xWindow="-98" yWindow="-98" windowWidth="21795" windowHeight="13875" xr2:uid="{1964986E-3200-4CF9-9EE3-CE5372A92B70}"/>
  </bookViews>
  <sheets>
    <sheet name="results" sheetId="7" r:id="rId1"/>
    <sheet name="details" sheetId="6" r:id="rId2"/>
    <sheet name="details (Sasy-OR)" sheetId="4" r:id="rId3"/>
    <sheet name="details (Sasy-Waks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4" i="5" l="1"/>
  <c r="AG25" i="5"/>
  <c r="AG26" i="5"/>
  <c r="AC24" i="5"/>
  <c r="AC25" i="5"/>
  <c r="AC26" i="5"/>
  <c r="Y24" i="5"/>
  <c r="Y25" i="5"/>
  <c r="Y26" i="5"/>
  <c r="U24" i="5"/>
  <c r="U25" i="5"/>
  <c r="U26" i="5"/>
  <c r="U23" i="5"/>
  <c r="AC15" i="5"/>
  <c r="AC16" i="5"/>
  <c r="AC17" i="5"/>
  <c r="Y15" i="5"/>
  <c r="Y16" i="5"/>
  <c r="Y17" i="5"/>
  <c r="U15" i="5"/>
  <c r="U16" i="5"/>
  <c r="U17" i="5"/>
  <c r="Q24" i="4"/>
  <c r="Q25" i="4"/>
  <c r="Q26" i="4"/>
  <c r="AC24" i="4"/>
  <c r="AC25" i="4"/>
  <c r="AC26" i="4"/>
  <c r="Y24" i="4"/>
  <c r="Y25" i="4"/>
  <c r="Y26" i="4"/>
  <c r="U24" i="4"/>
  <c r="U25" i="4"/>
  <c r="U26" i="4"/>
  <c r="AC16" i="4"/>
  <c r="AC17" i="4"/>
  <c r="Y16" i="4"/>
  <c r="Y17" i="4"/>
  <c r="U16" i="4"/>
  <c r="U17" i="4"/>
  <c r="D41" i="6"/>
  <c r="E34" i="6" a="1"/>
  <c r="E34" i="6" s="1"/>
  <c r="G34" i="6" a="1"/>
  <c r="G34" i="6" s="1"/>
  <c r="E35" i="6" a="1"/>
  <c r="E35" i="6" s="1"/>
  <c r="G35" i="6" a="1"/>
  <c r="G35" i="6" s="1"/>
  <c r="E36" i="6" a="1"/>
  <c r="E36" i="6" s="1"/>
  <c r="G36" i="6" a="1"/>
  <c r="G36" i="6" s="1"/>
  <c r="K31" i="6"/>
  <c r="L31" i="6"/>
  <c r="M31" i="6"/>
  <c r="J31" i="6"/>
  <c r="AI31" i="6"/>
  <c r="AG31" i="6"/>
  <c r="AC31" i="6"/>
  <c r="Y31" i="6"/>
  <c r="U31" i="6"/>
  <c r="G31" i="6" a="1"/>
  <c r="G31" i="6" s="1"/>
  <c r="E31" i="6" a="1"/>
  <c r="E31" i="6" s="1"/>
  <c r="AI32" i="6" l="1"/>
  <c r="AG32" i="6"/>
  <c r="AC32" i="6"/>
  <c r="Y32" i="6"/>
  <c r="U32" i="6"/>
  <c r="M32" i="6"/>
  <c r="L32" i="6"/>
  <c r="K32" i="6"/>
  <c r="J32" i="6"/>
  <c r="G32" i="6" a="1"/>
  <c r="G32" i="6" s="1"/>
  <c r="E32" i="6" a="1"/>
  <c r="E32" i="6" s="1"/>
  <c r="Q43" i="6" l="1"/>
  <c r="R43" i="6"/>
  <c r="P43" i="6"/>
  <c r="N43" i="6"/>
  <c r="O43" i="6"/>
  <c r="M43" i="6"/>
  <c r="K43" i="6"/>
  <c r="L43" i="6"/>
  <c r="J43" i="6"/>
  <c r="H43" i="6"/>
  <c r="I43" i="6"/>
  <c r="G43" i="6"/>
  <c r="E43" i="6"/>
  <c r="F43" i="6"/>
  <c r="D43" i="6"/>
  <c r="C43" i="6"/>
  <c r="R42" i="6"/>
  <c r="Q42" i="6"/>
  <c r="P42" i="6"/>
  <c r="R41" i="6"/>
  <c r="Q41" i="6"/>
  <c r="P41" i="6"/>
  <c r="O42" i="6"/>
  <c r="N42" i="6"/>
  <c r="M42" i="6"/>
  <c r="O41" i="6"/>
  <c r="N41" i="6"/>
  <c r="M41" i="6"/>
  <c r="L42" i="6"/>
  <c r="K42" i="6"/>
  <c r="J42" i="6"/>
  <c r="L41" i="6"/>
  <c r="K41" i="6"/>
  <c r="J41" i="6"/>
  <c r="I42" i="6"/>
  <c r="H42" i="6"/>
  <c r="G42" i="6"/>
  <c r="I41" i="6"/>
  <c r="H41" i="6"/>
  <c r="G41" i="6"/>
  <c r="E42" i="6"/>
  <c r="F42" i="6"/>
  <c r="D42" i="6"/>
  <c r="E41" i="6"/>
  <c r="F41" i="6"/>
  <c r="C42" i="6"/>
  <c r="Q4" i="6"/>
  <c r="U33" i="6"/>
  <c r="I26" i="6"/>
  <c r="I25" i="6"/>
  <c r="I24" i="6"/>
  <c r="I23" i="6"/>
  <c r="I22" i="6"/>
  <c r="I17" i="6"/>
  <c r="I16" i="6"/>
  <c r="I15" i="6"/>
  <c r="I14" i="6"/>
  <c r="I13" i="6"/>
  <c r="I8" i="6"/>
  <c r="I7" i="6"/>
  <c r="I6" i="6"/>
  <c r="I5" i="6"/>
  <c r="I4" i="6"/>
  <c r="K26" i="5"/>
  <c r="J26" i="5"/>
  <c r="K25" i="5"/>
  <c r="J25" i="5"/>
  <c r="K24" i="5"/>
  <c r="J24" i="5"/>
  <c r="K23" i="5"/>
  <c r="J23" i="5"/>
  <c r="K22" i="5"/>
  <c r="J22" i="5"/>
  <c r="K17" i="5"/>
  <c r="J17" i="5"/>
  <c r="K16" i="5"/>
  <c r="J16" i="5"/>
  <c r="K15" i="5"/>
  <c r="J15" i="5"/>
  <c r="K14" i="5"/>
  <c r="J14" i="5"/>
  <c r="K13" i="5"/>
  <c r="J13" i="5"/>
  <c r="K8" i="5"/>
  <c r="J8" i="5"/>
  <c r="K7" i="5"/>
  <c r="J7" i="5"/>
  <c r="K6" i="5"/>
  <c r="J6" i="5"/>
  <c r="K5" i="5"/>
  <c r="J5" i="5"/>
  <c r="K4" i="5"/>
  <c r="J4" i="5"/>
  <c r="K26" i="4"/>
  <c r="J26" i="4"/>
  <c r="K25" i="4"/>
  <c r="J25" i="4"/>
  <c r="K24" i="4"/>
  <c r="J24" i="4"/>
  <c r="K23" i="4"/>
  <c r="J23" i="4"/>
  <c r="K22" i="4"/>
  <c r="J22" i="4"/>
  <c r="K17" i="4"/>
  <c r="J17" i="4"/>
  <c r="K16" i="4"/>
  <c r="J16" i="4"/>
  <c r="K15" i="4"/>
  <c r="J15" i="4"/>
  <c r="K14" i="4"/>
  <c r="J14" i="4"/>
  <c r="K13" i="4"/>
  <c r="J13" i="4"/>
  <c r="K8" i="4"/>
  <c r="J8" i="4"/>
  <c r="K7" i="4"/>
  <c r="J7" i="4"/>
  <c r="K6" i="4"/>
  <c r="J6" i="4"/>
  <c r="K5" i="4"/>
  <c r="J5" i="4"/>
  <c r="K4" i="4"/>
  <c r="J4" i="4"/>
  <c r="K33" i="6"/>
  <c r="K34" i="6"/>
  <c r="K35" i="6"/>
  <c r="K36" i="6"/>
  <c r="K22" i="6"/>
  <c r="K14" i="6"/>
  <c r="K13" i="6"/>
  <c r="K5" i="6"/>
  <c r="K6" i="6"/>
  <c r="K7" i="6"/>
  <c r="K8" i="6"/>
  <c r="K4" i="6"/>
  <c r="J33" i="6"/>
  <c r="J34" i="6"/>
  <c r="J35" i="6"/>
  <c r="J36" i="6"/>
  <c r="J22" i="6"/>
  <c r="J14" i="6"/>
  <c r="J13" i="6"/>
  <c r="J4" i="6"/>
  <c r="J5" i="6"/>
  <c r="J6" i="6"/>
  <c r="J7" i="6"/>
  <c r="J8" i="6"/>
  <c r="M26" i="5"/>
  <c r="L26" i="5"/>
  <c r="M25" i="5"/>
  <c r="L25" i="5"/>
  <c r="M24" i="5"/>
  <c r="L24" i="5"/>
  <c r="M23" i="5"/>
  <c r="L23" i="5"/>
  <c r="M22" i="5"/>
  <c r="L22" i="5"/>
  <c r="M17" i="5"/>
  <c r="L17" i="5"/>
  <c r="M16" i="5"/>
  <c r="L16" i="5"/>
  <c r="M15" i="5"/>
  <c r="L15" i="5"/>
  <c r="M14" i="5"/>
  <c r="L14" i="5"/>
  <c r="M13" i="5"/>
  <c r="L13" i="5"/>
  <c r="M8" i="5"/>
  <c r="L8" i="5"/>
  <c r="M7" i="5"/>
  <c r="L7" i="5"/>
  <c r="M6" i="5"/>
  <c r="L6" i="5"/>
  <c r="M5" i="5"/>
  <c r="L5" i="5"/>
  <c r="M4" i="5"/>
  <c r="L4" i="5"/>
  <c r="M26" i="4"/>
  <c r="L26" i="4"/>
  <c r="M25" i="4"/>
  <c r="L25" i="4"/>
  <c r="M24" i="4"/>
  <c r="L24" i="4"/>
  <c r="M23" i="4"/>
  <c r="L23" i="4"/>
  <c r="M22" i="4"/>
  <c r="L22" i="4"/>
  <c r="M17" i="4"/>
  <c r="L17" i="4"/>
  <c r="M16" i="4"/>
  <c r="L16" i="4"/>
  <c r="M15" i="4"/>
  <c r="L15" i="4"/>
  <c r="M14" i="4"/>
  <c r="L14" i="4"/>
  <c r="M13" i="4"/>
  <c r="L13" i="4"/>
  <c r="M8" i="4"/>
  <c r="L8" i="4"/>
  <c r="M7" i="4"/>
  <c r="L7" i="4"/>
  <c r="M6" i="4"/>
  <c r="L6" i="4"/>
  <c r="M5" i="4"/>
  <c r="L5" i="4"/>
  <c r="M4" i="4"/>
  <c r="L4" i="4"/>
  <c r="M33" i="6"/>
  <c r="M34" i="6"/>
  <c r="M35" i="6"/>
  <c r="M36" i="6"/>
  <c r="M22" i="6"/>
  <c r="M14" i="6"/>
  <c r="M13" i="6"/>
  <c r="M5" i="6"/>
  <c r="M6" i="6"/>
  <c r="M7" i="6"/>
  <c r="M8" i="6"/>
  <c r="M4" i="6"/>
  <c r="L33" i="6"/>
  <c r="L34" i="6"/>
  <c r="L35" i="6"/>
  <c r="L36" i="6"/>
  <c r="L22" i="6"/>
  <c r="L14" i="6"/>
  <c r="L13" i="6"/>
  <c r="L5" i="6"/>
  <c r="L6" i="6"/>
  <c r="L7" i="6"/>
  <c r="L8" i="6"/>
  <c r="L4" i="6"/>
  <c r="Q16" i="6"/>
  <c r="Q17" i="6"/>
  <c r="Q15" i="6"/>
  <c r="AI33" i="6"/>
  <c r="AI34" i="6" s="1"/>
  <c r="AI35" i="6" s="1"/>
  <c r="AI36" i="6" s="1"/>
  <c r="AG33" i="6"/>
  <c r="AC33" i="6"/>
  <c r="Y33" i="6"/>
  <c r="Y34" i="6" s="1"/>
  <c r="Y35" i="6" s="1"/>
  <c r="Y36" i="6" s="1"/>
  <c r="Q24" i="6"/>
  <c r="Q25" i="6"/>
  <c r="Q26" i="6"/>
  <c r="AG24" i="6"/>
  <c r="AG25" i="6"/>
  <c r="AG26" i="6"/>
  <c r="AC24" i="6"/>
  <c r="AC25" i="6"/>
  <c r="AC26" i="6"/>
  <c r="Y24" i="6"/>
  <c r="Y25" i="6"/>
  <c r="Y26" i="6"/>
  <c r="U24" i="6"/>
  <c r="U25" i="6"/>
  <c r="U26" i="6"/>
  <c r="Q14" i="6"/>
  <c r="Q13" i="6"/>
  <c r="U16" i="6"/>
  <c r="Y16" i="6"/>
  <c r="AC16" i="6"/>
  <c r="AG16" i="6"/>
  <c r="U17" i="6"/>
  <c r="Y17" i="6"/>
  <c r="AC17" i="6"/>
  <c r="AG17" i="6"/>
  <c r="AG15" i="6"/>
  <c r="AC15" i="6"/>
  <c r="Y15" i="6"/>
  <c r="U15" i="6"/>
  <c r="AG22" i="6"/>
  <c r="AC22" i="6"/>
  <c r="Y22" i="6"/>
  <c r="U22" i="6"/>
  <c r="Q8" i="6"/>
  <c r="Q7" i="6"/>
  <c r="Q6" i="6"/>
  <c r="Q5" i="6"/>
  <c r="G33" i="6" a="1"/>
  <c r="G33" i="6" s="1"/>
  <c r="E33" i="6" a="1"/>
  <c r="E33" i="6" s="1"/>
  <c r="G26" i="6" a="1"/>
  <c r="G26" i="6" s="1"/>
  <c r="E26" i="6" a="1"/>
  <c r="E26" i="6" s="1"/>
  <c r="C26" i="6"/>
  <c r="K26" i="6" s="1"/>
  <c r="G25" i="6" a="1"/>
  <c r="G25" i="6" s="1"/>
  <c r="E25" i="6" a="1"/>
  <c r="E25" i="6" s="1"/>
  <c r="C25" i="6"/>
  <c r="J25" i="6" s="1"/>
  <c r="G24" i="6" a="1"/>
  <c r="G24" i="6" s="1"/>
  <c r="E24" i="6" a="1"/>
  <c r="E24" i="6" s="1"/>
  <c r="C24" i="6"/>
  <c r="J24" i="6" s="1"/>
  <c r="AG23" i="6"/>
  <c r="AC23" i="6"/>
  <c r="Y23" i="6"/>
  <c r="U23" i="6"/>
  <c r="Q23" i="6"/>
  <c r="G23" i="6" a="1"/>
  <c r="G23" i="6" s="1"/>
  <c r="E23" i="6" a="1"/>
  <c r="E23" i="6" s="1"/>
  <c r="C23" i="6"/>
  <c r="M23" i="6" s="1"/>
  <c r="Q22" i="6"/>
  <c r="G22" i="6" a="1"/>
  <c r="G22" i="6" s="1"/>
  <c r="E22" i="6" a="1"/>
  <c r="E22" i="6" s="1"/>
  <c r="G17" i="6" a="1"/>
  <c r="G17" i="6" s="1"/>
  <c r="E17" i="6" a="1"/>
  <c r="E17" i="6" s="1"/>
  <c r="C17" i="6"/>
  <c r="K17" i="6" s="1"/>
  <c r="G16" i="6" a="1"/>
  <c r="G16" i="6" s="1"/>
  <c r="E16" i="6" a="1"/>
  <c r="E16" i="6" s="1"/>
  <c r="C16" i="6"/>
  <c r="M16" i="6" s="1"/>
  <c r="G15" i="6" a="1"/>
  <c r="G15" i="6" s="1"/>
  <c r="E15" i="6" a="1"/>
  <c r="E15" i="6" s="1"/>
  <c r="C15" i="6"/>
  <c r="K15" i="6" s="1"/>
  <c r="AG14" i="6"/>
  <c r="AC14" i="6"/>
  <c r="Y14" i="6"/>
  <c r="U14" i="6"/>
  <c r="G14" i="6" a="1"/>
  <c r="G14" i="6" s="1"/>
  <c r="E14" i="6" a="1"/>
  <c r="E14" i="6" s="1"/>
  <c r="AG13" i="6"/>
  <c r="AC13" i="6"/>
  <c r="Y13" i="6"/>
  <c r="U13" i="6"/>
  <c r="G13" i="6" a="1"/>
  <c r="G13" i="6" s="1"/>
  <c r="E13" i="6" a="1"/>
  <c r="E13" i="6" s="1"/>
  <c r="AG8" i="6"/>
  <c r="AC8" i="6"/>
  <c r="Y8" i="6"/>
  <c r="U8" i="6"/>
  <c r="G8" i="6" a="1"/>
  <c r="G8" i="6" s="1"/>
  <c r="E8" i="6" a="1"/>
  <c r="E8" i="6" s="1"/>
  <c r="AG7" i="6"/>
  <c r="AC7" i="6"/>
  <c r="Y7" i="6"/>
  <c r="U7" i="6"/>
  <c r="G7" i="6" a="1"/>
  <c r="G7" i="6" s="1"/>
  <c r="E7" i="6" a="1"/>
  <c r="E7" i="6" s="1"/>
  <c r="AG6" i="6"/>
  <c r="AC6" i="6"/>
  <c r="Y6" i="6"/>
  <c r="U6" i="6"/>
  <c r="G6" i="6" a="1"/>
  <c r="G6" i="6" s="1"/>
  <c r="E6" i="6" a="1"/>
  <c r="E6" i="6" s="1"/>
  <c r="AG5" i="6"/>
  <c r="AC5" i="6"/>
  <c r="Y5" i="6"/>
  <c r="U5" i="6"/>
  <c r="G5" i="6" a="1"/>
  <c r="G5" i="6" s="1"/>
  <c r="E5" i="6" a="1"/>
  <c r="E5" i="6" s="1"/>
  <c r="AG4" i="6"/>
  <c r="AC4" i="6"/>
  <c r="Y4" i="6"/>
  <c r="U4" i="6"/>
  <c r="G4" i="6" a="1"/>
  <c r="G4" i="6" s="1"/>
  <c r="E4" i="6" a="1"/>
  <c r="E4" i="6" s="1"/>
  <c r="AG22" i="5"/>
  <c r="AC22" i="5"/>
  <c r="Y22" i="5"/>
  <c r="U22" i="5"/>
  <c r="AG15" i="5"/>
  <c r="AG16" i="5"/>
  <c r="AG17" i="5"/>
  <c r="I26" i="5"/>
  <c r="G26" i="5" a="1"/>
  <c r="G26" i="5" s="1"/>
  <c r="E26" i="5" a="1"/>
  <c r="E26" i="5" s="1"/>
  <c r="C26" i="5"/>
  <c r="I25" i="5"/>
  <c r="G25" i="5" a="1"/>
  <c r="G25" i="5" s="1"/>
  <c r="E25" i="5" a="1"/>
  <c r="E25" i="5" s="1"/>
  <c r="C25" i="5"/>
  <c r="I24" i="5"/>
  <c r="G24" i="5" a="1"/>
  <c r="G24" i="5" s="1"/>
  <c r="E24" i="5"/>
  <c r="E24" i="5" a="1"/>
  <c r="C24" i="5"/>
  <c r="AG23" i="5"/>
  <c r="AC23" i="5"/>
  <c r="Y23" i="5"/>
  <c r="I23" i="5"/>
  <c r="G23" i="5" a="1"/>
  <c r="G23" i="5" s="1"/>
  <c r="E23" i="5" a="1"/>
  <c r="E23" i="5" s="1"/>
  <c r="C23" i="5"/>
  <c r="I22" i="5"/>
  <c r="G22" i="5" a="1"/>
  <c r="G22" i="5" s="1"/>
  <c r="E22" i="5" a="1"/>
  <c r="E22" i="5" s="1"/>
  <c r="I17" i="5"/>
  <c r="G17" i="5" a="1"/>
  <c r="G17" i="5" s="1"/>
  <c r="E17" i="5"/>
  <c r="E17" i="5" a="1"/>
  <c r="C17" i="5"/>
  <c r="I16" i="5"/>
  <c r="G16" i="5" a="1"/>
  <c r="G16" i="5" s="1"/>
  <c r="E16" i="5" a="1"/>
  <c r="E16" i="5" s="1"/>
  <c r="C16" i="5"/>
  <c r="I15" i="5"/>
  <c r="G15" i="5"/>
  <c r="G15" i="5" a="1"/>
  <c r="E15" i="5" a="1"/>
  <c r="E15" i="5" s="1"/>
  <c r="C15" i="5"/>
  <c r="AG14" i="5"/>
  <c r="AC14" i="5"/>
  <c r="Y14" i="5"/>
  <c r="U14" i="5"/>
  <c r="I14" i="5"/>
  <c r="G14" i="5"/>
  <c r="G14" i="5" a="1"/>
  <c r="E14" i="5"/>
  <c r="E14" i="5" a="1"/>
  <c r="AG13" i="5"/>
  <c r="AC13" i="5"/>
  <c r="Y13" i="5"/>
  <c r="U13" i="5"/>
  <c r="I13" i="5"/>
  <c r="G13" i="5"/>
  <c r="G13" i="5" a="1"/>
  <c r="E13" i="5" a="1"/>
  <c r="E13" i="5" s="1"/>
  <c r="AG8" i="5"/>
  <c r="AC8" i="5"/>
  <c r="Y8" i="5"/>
  <c r="U8" i="5"/>
  <c r="I8" i="5"/>
  <c r="G8" i="5"/>
  <c r="G8" i="5" a="1"/>
  <c r="E8" i="5" a="1"/>
  <c r="E8" i="5" s="1"/>
  <c r="AG7" i="5"/>
  <c r="AC7" i="5"/>
  <c r="Y7" i="5"/>
  <c r="U7" i="5"/>
  <c r="I7" i="5"/>
  <c r="G7" i="5" a="1"/>
  <c r="G7" i="5" s="1"/>
  <c r="E7" i="5" a="1"/>
  <c r="E7" i="5" s="1"/>
  <c r="AG6" i="5"/>
  <c r="AC6" i="5"/>
  <c r="Y6" i="5"/>
  <c r="U6" i="5"/>
  <c r="I6" i="5"/>
  <c r="G6" i="5" a="1"/>
  <c r="G6" i="5" s="1"/>
  <c r="E6" i="5" a="1"/>
  <c r="E6" i="5" s="1"/>
  <c r="AG5" i="5"/>
  <c r="AC5" i="5"/>
  <c r="Y5" i="5"/>
  <c r="U5" i="5"/>
  <c r="I5" i="5"/>
  <c r="G5" i="5" a="1"/>
  <c r="G5" i="5" s="1"/>
  <c r="E5" i="5" a="1"/>
  <c r="E5" i="5" s="1"/>
  <c r="AG4" i="5"/>
  <c r="AC4" i="5"/>
  <c r="Y4" i="5"/>
  <c r="U4" i="5"/>
  <c r="I4" i="5"/>
  <c r="G4" i="5" a="1"/>
  <c r="G4" i="5" s="1"/>
  <c r="E4" i="5"/>
  <c r="E4" i="5" a="1"/>
  <c r="Q22" i="4"/>
  <c r="AG14" i="4"/>
  <c r="AG15" i="4"/>
  <c r="AG16" i="4"/>
  <c r="AG17" i="4"/>
  <c r="AG13" i="4"/>
  <c r="AC14" i="4"/>
  <c r="AC15" i="4"/>
  <c r="AC13" i="4"/>
  <c r="AG24" i="4"/>
  <c r="AG25" i="4"/>
  <c r="AG26" i="4"/>
  <c r="AG23" i="4"/>
  <c r="AC23" i="4"/>
  <c r="Y23" i="4"/>
  <c r="U23" i="4"/>
  <c r="AG22" i="4"/>
  <c r="AC22" i="4"/>
  <c r="Y22" i="4"/>
  <c r="U22" i="4"/>
  <c r="Q23" i="4"/>
  <c r="U15" i="4"/>
  <c r="Y15" i="4"/>
  <c r="Y14" i="4"/>
  <c r="Y13" i="4"/>
  <c r="U14" i="4"/>
  <c r="U13" i="4"/>
  <c r="AG5" i="4"/>
  <c r="AG6" i="4"/>
  <c r="AG7" i="4"/>
  <c r="AG8" i="4"/>
  <c r="AG4" i="4"/>
  <c r="AC5" i="4"/>
  <c r="AC6" i="4"/>
  <c r="AC7" i="4"/>
  <c r="AC8" i="4"/>
  <c r="AC4" i="4"/>
  <c r="Y5" i="4"/>
  <c r="Y6" i="4"/>
  <c r="Y7" i="4"/>
  <c r="Y8" i="4"/>
  <c r="Y4" i="4"/>
  <c r="U5" i="4"/>
  <c r="U6" i="4"/>
  <c r="U7" i="4"/>
  <c r="U8" i="4"/>
  <c r="U4" i="4"/>
  <c r="I13" i="4"/>
  <c r="C23" i="4"/>
  <c r="C25" i="4"/>
  <c r="C26" i="4"/>
  <c r="C24" i="4"/>
  <c r="I26" i="4"/>
  <c r="G26" i="4" a="1"/>
  <c r="G26" i="4" s="1"/>
  <c r="E26" i="4" a="1"/>
  <c r="E26" i="4" s="1"/>
  <c r="I25" i="4"/>
  <c r="G25" i="4" a="1"/>
  <c r="G25" i="4" s="1"/>
  <c r="E25" i="4" a="1"/>
  <c r="E25" i="4" s="1"/>
  <c r="I24" i="4"/>
  <c r="G24" i="4" a="1"/>
  <c r="G24" i="4" s="1"/>
  <c r="E24" i="4" a="1"/>
  <c r="E24" i="4" s="1"/>
  <c r="I23" i="4"/>
  <c r="G23" i="4" a="1"/>
  <c r="G23" i="4" s="1"/>
  <c r="E23" i="4" a="1"/>
  <c r="E23" i="4" s="1"/>
  <c r="I22" i="4"/>
  <c r="G22" i="4" a="1"/>
  <c r="G22" i="4" s="1"/>
  <c r="E22" i="4" a="1"/>
  <c r="E22" i="4" s="1"/>
  <c r="C15" i="4"/>
  <c r="C16" i="4"/>
  <c r="C17" i="4"/>
  <c r="I17" i="4"/>
  <c r="G17" i="4" a="1"/>
  <c r="G17" i="4" s="1"/>
  <c r="E17" i="4" a="1"/>
  <c r="E17" i="4" s="1"/>
  <c r="I16" i="4"/>
  <c r="G16" i="4" a="1"/>
  <c r="G16" i="4" s="1"/>
  <c r="E16" i="4" a="1"/>
  <c r="E16" i="4" s="1"/>
  <c r="I15" i="4"/>
  <c r="G15" i="4" a="1"/>
  <c r="G15" i="4" s="1"/>
  <c r="E15" i="4" a="1"/>
  <c r="E15" i="4" s="1"/>
  <c r="I14" i="4"/>
  <c r="G14" i="4" a="1"/>
  <c r="G14" i="4" s="1"/>
  <c r="E14" i="4" a="1"/>
  <c r="E14" i="4" s="1"/>
  <c r="G13" i="4" a="1"/>
  <c r="G13" i="4" s="1"/>
  <c r="E13" i="4" a="1"/>
  <c r="E13" i="4" s="1"/>
  <c r="I5" i="4"/>
  <c r="I6" i="4"/>
  <c r="I7" i="4"/>
  <c r="I8" i="4"/>
  <c r="I4" i="4"/>
  <c r="G8" i="4" a="1"/>
  <c r="G8" i="4" s="1"/>
  <c r="G7" i="4" a="1"/>
  <c r="G7" i="4" s="1"/>
  <c r="G6" i="4" a="1"/>
  <c r="G6" i="4" s="1"/>
  <c r="G5" i="4" a="1"/>
  <c r="G5" i="4" s="1"/>
  <c r="G4" i="4" a="1"/>
  <c r="G4" i="4" s="1"/>
  <c r="E5" i="4" a="1"/>
  <c r="E5" i="4" s="1"/>
  <c r="E6" i="4" a="1"/>
  <c r="E6" i="4" s="1"/>
  <c r="E7" i="4" a="1"/>
  <c r="E7" i="4" s="1"/>
  <c r="E8" i="4" a="1"/>
  <c r="E8" i="4" s="1"/>
  <c r="E4" i="4" a="1"/>
  <c r="E4" i="4" s="1"/>
  <c r="U34" i="6" l="1"/>
  <c r="U35" i="6" s="1"/>
  <c r="U36" i="6" s="1"/>
  <c r="J26" i="6"/>
  <c r="L16" i="6"/>
  <c r="M24" i="6"/>
  <c r="K16" i="6"/>
  <c r="M26" i="6"/>
  <c r="J23" i="6"/>
  <c r="L23" i="6"/>
  <c r="M15" i="6"/>
  <c r="J15" i="6"/>
  <c r="K24" i="6"/>
  <c r="L26" i="6"/>
  <c r="M17" i="6"/>
  <c r="J16" i="6"/>
  <c r="K23" i="6"/>
  <c r="L25" i="6"/>
  <c r="J17" i="6"/>
  <c r="L24" i="6"/>
  <c r="K25" i="6"/>
  <c r="L15" i="6"/>
  <c r="L17" i="6"/>
  <c r="M25" i="6"/>
  <c r="AC34" i="6"/>
  <c r="AC35" i="6" s="1"/>
  <c r="AC36" i="6" s="1"/>
  <c r="AG34" i="6"/>
  <c r="AG35" i="6" s="1"/>
  <c r="AG3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<sst xmlns="http://schemas.openxmlformats.org/spreadsheetml/2006/main" count="362" uniqueCount="38">
  <si>
    <t>FOUD</t>
    <phoneticPr fontId="1"/>
  </si>
  <si>
    <t>lambda</t>
    <phoneticPr fontId="1"/>
  </si>
  <si>
    <t>FOLNF* (AGeo)</t>
    <phoneticPr fontId="1"/>
  </si>
  <si>
    <t>delta (DP)</t>
    <phoneticPr fontId="1"/>
  </si>
  <si>
    <t>FOLNF* (1Geo)</t>
    <phoneticPr fontId="1"/>
  </si>
  <si>
    <t>n</t>
    <phoneticPr fontId="1"/>
  </si>
  <si>
    <t>d</t>
    <phoneticPr fontId="1"/>
  </si>
  <si>
    <t>epsilon (DP)</t>
    <phoneticPr fontId="1"/>
  </si>
  <si>
    <t>epsilon (FODP)</t>
    <phoneticPr fontId="1"/>
  </si>
  <si>
    <t>delta (FODP)</t>
    <phoneticPr fontId="1"/>
  </si>
  <si>
    <t>FOLNF (AGeo)</t>
    <phoneticPr fontId="1"/>
  </si>
  <si>
    <t>#shuffle values</t>
    <phoneticPr fontId="1"/>
  </si>
  <si>
    <t>FOLNF (1Geo)</t>
    <phoneticPr fontId="1"/>
  </si>
  <si>
    <t>-</t>
    <phoneticPr fontId="1"/>
  </si>
  <si>
    <t>b</t>
    <phoneticPr fontId="1"/>
  </si>
  <si>
    <t>step 1</t>
    <phoneticPr fontId="1"/>
  </si>
  <si>
    <t>step 2</t>
    <phoneticPr fontId="1"/>
  </si>
  <si>
    <t>step 3</t>
    <phoneticPr fontId="1"/>
  </si>
  <si>
    <t>step1</t>
    <phoneticPr fontId="1"/>
  </si>
  <si>
    <t>total [s]</t>
    <phoneticPr fontId="1"/>
  </si>
  <si>
    <t>estimate</t>
    <phoneticPr fontId="1"/>
  </si>
  <si>
    <t>(1) n=100-1000000, d=1000</t>
    <phoneticPr fontId="1"/>
  </si>
  <si>
    <t>(2) n=1000, d=100-1000000, b=n (use hashes only when d&gt;b)</t>
    <phoneticPr fontId="1"/>
  </si>
  <si>
    <t>Runtime (step 1: sampling, step 2: adding dummies, step 3: shuffling)</t>
    <phoneticPr fontId="1"/>
  </si>
  <si>
    <t>Sampling</t>
    <phoneticPr fontId="1"/>
  </si>
  <si>
    <t>Adding dummies</t>
    <phoneticPr fontId="1"/>
  </si>
  <si>
    <t>Shuffling</t>
    <phoneticPr fontId="1"/>
  </si>
  <si>
    <t>[breakdown] (second)</t>
    <phoneticPr fontId="1"/>
  </si>
  <si>
    <t>(1) n=1000000, d=1000</t>
    <phoneticPr fontId="1"/>
  </si>
  <si>
    <t>(2) n=1000, d=1000000, b=n</t>
    <phoneticPr fontId="1"/>
  </si>
  <si>
    <t>(2)' n=1000, d=100-1000000, b=n/10 (use hashes only when d&gt;b)</t>
    <phoneticPr fontId="1"/>
  </si>
  <si>
    <t>(3) n=d=10^6-10^8</t>
    <phoneticPr fontId="1"/>
  </si>
  <si>
    <t>(3) n=d=10^3-10^8</t>
    <phoneticPr fontId="1"/>
  </si>
  <si>
    <t>Total runtime</t>
    <phoneticPr fontId="1"/>
  </si>
  <si>
    <t>Total runtime (Sasy-OR)</t>
    <phoneticPr fontId="1"/>
  </si>
  <si>
    <t>Total runtime (Sasy-Waks)</t>
    <phoneticPr fontId="1"/>
  </si>
  <si>
    <t>Each step's runtime</t>
    <phoneticPr fontId="1"/>
  </si>
  <si>
    <t>Histogram-based Algorithm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</si>
</sst>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sz val="10"/>
      <color indexed="8"/>
      <name val="ヒラギノ角ゴ ProN W3"/>
      <family val="3"/>
      <charset val="128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Protection="0">
      <alignment vertical="top" wrapText="1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</cellXfs>
  <cellStyles count="2">
    <cellStyle name="標準" xfId="0" builtinId="0"/>
    <cellStyle name="標準 2" xfId="1" xr:uid="{0E32BAF2-2E38-4E26-85AF-196360C2EB26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38648293963255"/>
          <c:y val="6.01738174298031E-2"/>
          <c:w val="0.57372262677743502"/>
          <c:h val="0.7920100052429222"/>
        </c:manualLayout>
      </c:layout>
      <c:scatterChart>
        <c:scatterStyle val="lineMarker"/>
        <c:varyColors val="0"/>
        <c:ser>
          <c:idx val="0"/>
          <c:order val="0"/>
          <c:tx>
            <c:v>FOUD</c:v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details!$A$4:$A$8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details!$Q$4:$Q$8</c:f>
              <c:numCache>
                <c:formatCode>General</c:formatCode>
                <c:ptCount val="5"/>
                <c:pt idx="0">
                  <c:v>9.2594510000000003</c:v>
                </c:pt>
                <c:pt idx="1">
                  <c:v>9.1696259999999992</c:v>
                </c:pt>
                <c:pt idx="2">
                  <c:v>9.2152180000000001</c:v>
                </c:pt>
                <c:pt idx="3">
                  <c:v>9.2698619999999998</c:v>
                </c:pt>
                <c:pt idx="4">
                  <c:v>9.5801759999999998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67-4EC0-AA00-294FD08B329C}"/>
            </c:ext>
          </c:extLst>
        </c:ser>
        <c:ser>
          <c:idx val="1"/>
          <c:order val="1"/>
          <c:tx>
            <c:strRef>
              <c:f>details!$J$2</c:f>
              <c:strCache>
                <c:ptCount val="1"/>
                <c:pt idx="0">
                  <c:v>FOLNF (AGeo)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details!$A$4:$A$8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details!$U$4:$U$8</c:f>
              <c:numCache>
                <c:formatCode>General</c:formatCode>
                <c:ptCount val="5"/>
                <c:pt idx="0">
                  <c:v>0.19386900000000001</c:v>
                </c:pt>
                <c:pt idx="1">
                  <c:v>0.194435</c:v>
                </c:pt>
                <c:pt idx="2">
                  <c:v>0.199603</c:v>
                </c:pt>
                <c:pt idx="3">
                  <c:v>0.223161</c:v>
                </c:pt>
                <c:pt idx="4">
                  <c:v>0.467194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67-4EC0-AA00-294FD08B329C}"/>
            </c:ext>
          </c:extLst>
        </c:ser>
        <c:ser>
          <c:idx val="3"/>
          <c:order val="2"/>
          <c:tx>
            <c:strRef>
              <c:f>details!$L$2</c:f>
              <c:strCache>
                <c:ptCount val="1"/>
                <c:pt idx="0">
                  <c:v>FOLNF* (AGeo)</c:v>
                </c:pt>
              </c:strCache>
            </c:strRef>
          </c:tx>
          <c:spPr>
            <a:ln w="95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details!$A$4:$A$8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details!$AC$4:$AC$8</c:f>
              <c:numCache>
                <c:formatCode>General</c:formatCode>
                <c:ptCount val="5"/>
                <c:pt idx="0">
                  <c:v>9.8862000000000005E-2</c:v>
                </c:pt>
                <c:pt idx="1">
                  <c:v>9.9046999999999996E-2</c:v>
                </c:pt>
                <c:pt idx="2">
                  <c:v>0.101398</c:v>
                </c:pt>
                <c:pt idx="3">
                  <c:v>0.124615</c:v>
                </c:pt>
                <c:pt idx="4">
                  <c:v>0.374164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67-4EC0-AA00-294FD08B329C}"/>
            </c:ext>
          </c:extLst>
        </c:ser>
        <c:ser>
          <c:idx val="2"/>
          <c:order val="3"/>
          <c:tx>
            <c:strRef>
              <c:f>details!$K$2</c:f>
              <c:strCache>
                <c:ptCount val="1"/>
                <c:pt idx="0">
                  <c:v>FOLNF (1Geo)</c:v>
                </c:pt>
              </c:strCache>
            </c:strRef>
          </c:tx>
          <c:spPr>
            <a:ln w="9525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7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details!$A$4:$A$8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details!$Y$4:$Y$8</c:f>
              <c:numCache>
                <c:formatCode>General</c:formatCode>
                <c:ptCount val="5"/>
                <c:pt idx="0">
                  <c:v>5.5230000000000001E-3</c:v>
                </c:pt>
                <c:pt idx="1">
                  <c:v>5.7210000000000004E-3</c:v>
                </c:pt>
                <c:pt idx="2">
                  <c:v>7.672E-3</c:v>
                </c:pt>
                <c:pt idx="3">
                  <c:v>2.9974000000000001E-2</c:v>
                </c:pt>
                <c:pt idx="4">
                  <c:v>0.26468799999999998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67-4EC0-AA00-294FD08B329C}"/>
            </c:ext>
          </c:extLst>
        </c:ser>
        <c:ser>
          <c:idx val="4"/>
          <c:order val="4"/>
          <c:tx>
            <c:strRef>
              <c:f>details!$M$2</c:f>
              <c:strCache>
                <c:ptCount val="1"/>
                <c:pt idx="0">
                  <c:v>FOLNF* (1Geo)</c:v>
                </c:pt>
              </c:strCache>
            </c:strRef>
          </c:tx>
          <c:spPr>
            <a:ln w="9525" cap="rnd">
              <a:solidFill>
                <a:srgbClr val="00206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details!$A$4:$A$8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details!$AG$4:$AG$8</c:f>
              <c:numCache>
                <c:formatCode>General</c:formatCode>
                <c:ptCount val="5"/>
                <c:pt idx="0">
                  <c:v>2.369E-3</c:v>
                </c:pt>
                <c:pt idx="1">
                  <c:v>2.519E-3</c:v>
                </c:pt>
                <c:pt idx="2">
                  <c:v>4.5279999999999999E-3</c:v>
                </c:pt>
                <c:pt idx="3">
                  <c:v>2.5219999999999999E-2</c:v>
                </c:pt>
                <c:pt idx="4">
                  <c:v>0.25994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67-4EC0-AA00-294FD08B3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638751"/>
        <c:axId val="1816659391"/>
      </c:scatterChart>
      <c:valAx>
        <c:axId val="1816638751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6659391"/>
        <c:crossesAt val="1.0000000000000003E-4"/>
        <c:crossBetween val="midCat"/>
      </c:valAx>
      <c:valAx>
        <c:axId val="1816659391"/>
        <c:scaling>
          <c:logBase val="10"/>
          <c:orientation val="minMax"/>
          <c:max val="10"/>
          <c:min val="1.000000000000000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Rum</a:t>
                </a:r>
                <a:r>
                  <a:rPr lang="en-US" altLang="ja-JP" baseline="0"/>
                  <a:t>time [s]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663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4142835214973"/>
          <c:y val="0.32928171967843411"/>
          <c:w val="0.23291605998267947"/>
          <c:h val="0.39014971813842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38648293963255"/>
          <c:y val="0.14340515284386549"/>
          <c:w val="0.57372262677743502"/>
          <c:h val="0.7087787236474995"/>
        </c:manualLayout>
      </c:layout>
      <c:scatterChart>
        <c:scatterStyle val="lineMarker"/>
        <c:varyColors val="0"/>
        <c:ser>
          <c:idx val="0"/>
          <c:order val="0"/>
          <c:tx>
            <c:v>FOUD</c:v>
          </c:tx>
          <c:spPr>
            <a:ln w="952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7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details!$B$13:$B$17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details!$Q$13:$Q$17</c:f>
              <c:numCache>
                <c:formatCode>General</c:formatCode>
                <c:ptCount val="5"/>
                <c:pt idx="0">
                  <c:v>0.74318799999999996</c:v>
                </c:pt>
                <c:pt idx="1">
                  <c:v>9.1773450000000008</c:v>
                </c:pt>
                <c:pt idx="2">
                  <c:v>8.9682820000000003</c:v>
                </c:pt>
                <c:pt idx="3">
                  <c:v>8.9682820000000003</c:v>
                </c:pt>
                <c:pt idx="4">
                  <c:v>8.9682820000000003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6-4EB0-84D9-A01F61D29E97}"/>
            </c:ext>
          </c:extLst>
        </c:ser>
        <c:ser>
          <c:idx val="1"/>
          <c:order val="1"/>
          <c:tx>
            <c:strRef>
              <c:f>details!$J$2</c:f>
              <c:strCache>
                <c:ptCount val="1"/>
                <c:pt idx="0">
                  <c:v>FOLNF (AGeo)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details!$B$13:$B$17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details!$U$13:$U$17</c:f>
              <c:numCache>
                <c:formatCode>General</c:formatCode>
                <c:ptCount val="5"/>
                <c:pt idx="0">
                  <c:v>1.5389999999999999E-2</c:v>
                </c:pt>
                <c:pt idx="1">
                  <c:v>0.19445999999999999</c:v>
                </c:pt>
                <c:pt idx="2">
                  <c:v>0.194491</c:v>
                </c:pt>
                <c:pt idx="3">
                  <c:v>0.194491</c:v>
                </c:pt>
                <c:pt idx="4">
                  <c:v>0.194491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96-4EB0-84D9-A01F61D29E97}"/>
            </c:ext>
          </c:extLst>
        </c:ser>
        <c:ser>
          <c:idx val="3"/>
          <c:order val="2"/>
          <c:tx>
            <c:strRef>
              <c:f>details!$L$2</c:f>
              <c:strCache>
                <c:ptCount val="1"/>
                <c:pt idx="0">
                  <c:v>FOLNF* (AGeo)</c:v>
                </c:pt>
              </c:strCache>
            </c:strRef>
          </c:tx>
          <c:spPr>
            <a:ln w="95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details!$B$13:$B$17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details!$AC$13:$AC$17</c:f>
              <c:numCache>
                <c:formatCode>General</c:formatCode>
                <c:ptCount val="5"/>
                <c:pt idx="0">
                  <c:v>7.7910000000000002E-3</c:v>
                </c:pt>
                <c:pt idx="1">
                  <c:v>9.8919000000000007E-2</c:v>
                </c:pt>
                <c:pt idx="2">
                  <c:v>9.9154999999999993E-2</c:v>
                </c:pt>
                <c:pt idx="3">
                  <c:v>9.9154999999999993E-2</c:v>
                </c:pt>
                <c:pt idx="4">
                  <c:v>9.9154999999999993E-2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96-4EB0-84D9-A01F61D29E97}"/>
            </c:ext>
          </c:extLst>
        </c:ser>
        <c:ser>
          <c:idx val="2"/>
          <c:order val="3"/>
          <c:tx>
            <c:strRef>
              <c:f>details!$K$2</c:f>
              <c:strCache>
                <c:ptCount val="1"/>
                <c:pt idx="0">
                  <c:v>FOLNF (1Geo)</c:v>
                </c:pt>
              </c:strCache>
            </c:strRef>
          </c:tx>
          <c:spPr>
            <a:ln w="9525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7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details!$B$13:$B$17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details!$Y$13:$Y$17</c:f>
              <c:numCache>
                <c:formatCode>General</c:formatCode>
                <c:ptCount val="5"/>
                <c:pt idx="0">
                  <c:v>6.9200000000000002E-4</c:v>
                </c:pt>
                <c:pt idx="1">
                  <c:v>5.7279999999999996E-3</c:v>
                </c:pt>
                <c:pt idx="2">
                  <c:v>5.7450000000000001E-3</c:v>
                </c:pt>
                <c:pt idx="3">
                  <c:v>5.7450000000000001E-3</c:v>
                </c:pt>
                <c:pt idx="4">
                  <c:v>5.7450000000000001E-3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96-4EB0-84D9-A01F61D29E97}"/>
            </c:ext>
          </c:extLst>
        </c:ser>
        <c:ser>
          <c:idx val="4"/>
          <c:order val="4"/>
          <c:tx>
            <c:strRef>
              <c:f>details!$M$2</c:f>
              <c:strCache>
                <c:ptCount val="1"/>
                <c:pt idx="0">
                  <c:v>FOLNF* (1Geo)</c:v>
                </c:pt>
              </c:strCache>
            </c:strRef>
          </c:tx>
          <c:spPr>
            <a:ln w="9525" cap="rnd">
              <a:solidFill>
                <a:srgbClr val="00206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details!$B$13:$B$17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details!$AG$13:$AG$17</c:f>
              <c:numCache>
                <c:formatCode>General</c:formatCode>
                <c:ptCount val="5"/>
                <c:pt idx="0">
                  <c:v>4.3899999999999999E-4</c:v>
                </c:pt>
                <c:pt idx="1">
                  <c:v>2.5100000000000001E-3</c:v>
                </c:pt>
                <c:pt idx="2">
                  <c:v>2.5010000000000002E-3</c:v>
                </c:pt>
                <c:pt idx="3">
                  <c:v>2.5010000000000002E-3</c:v>
                </c:pt>
                <c:pt idx="4">
                  <c:v>2.5010000000000002E-3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96-4EB0-84D9-A01F61D29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638751"/>
        <c:axId val="1816659391"/>
      </c:scatterChart>
      <c:valAx>
        <c:axId val="1816638751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6659391"/>
        <c:crossesAt val="1.0000000000000003E-4"/>
        <c:crossBetween val="midCat"/>
      </c:valAx>
      <c:valAx>
        <c:axId val="1816659391"/>
        <c:scaling>
          <c:logBase val="10"/>
          <c:orientation val="minMax"/>
          <c:max val="10"/>
          <c:min val="1.000000000000000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Runtime</a:t>
                </a:r>
                <a:r>
                  <a:rPr lang="en-US" altLang="ja-JP" baseline="0"/>
                  <a:t> [s]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663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52626540750508"/>
          <c:y val="0.32928186060075826"/>
          <c:w val="0.23912215463564171"/>
          <c:h val="0.39014971813842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50399099332481"/>
          <c:y val="5.0925944490355965E-2"/>
          <c:w val="0.67687272395163611"/>
          <c:h val="0.841674628781943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details!$D$39</c:f>
              <c:strCache>
                <c:ptCount val="1"/>
                <c:pt idx="0">
                  <c:v>FOUD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details!$D$40:$F$40</c:f>
              <c:strCache>
                <c:ptCount val="3"/>
                <c:pt idx="0">
                  <c:v>Sampling</c:v>
                </c:pt>
                <c:pt idx="1">
                  <c:v>Adding dummies</c:v>
                </c:pt>
                <c:pt idx="2">
                  <c:v>Shuffling</c:v>
                </c:pt>
              </c:strCache>
            </c:strRef>
          </c:cat>
          <c:val>
            <c:numRef>
              <c:f>details!$D$41:$F$41</c:f>
              <c:numCache>
                <c:formatCode>General</c:formatCode>
                <c:ptCount val="3"/>
                <c:pt idx="0">
                  <c:v>9.1332999999999998E-2</c:v>
                </c:pt>
                <c:pt idx="1">
                  <c:v>0.55037700000000001</c:v>
                </c:pt>
                <c:pt idx="2">
                  <c:v>8.938466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FE-48FB-93F5-F2F2EA303BBC}"/>
            </c:ext>
          </c:extLst>
        </c:ser>
        <c:ser>
          <c:idx val="1"/>
          <c:order val="1"/>
          <c:tx>
            <c:strRef>
              <c:f>details!$G$39</c:f>
              <c:strCache>
                <c:ptCount val="1"/>
                <c:pt idx="0">
                  <c:v>FOLNF (AGeo)</c:v>
                </c:pt>
              </c:strCache>
            </c:strRef>
          </c:tx>
          <c:spPr>
            <a:solidFill>
              <a:srgbClr val="FF66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details!$D$40:$F$40</c:f>
              <c:strCache>
                <c:ptCount val="3"/>
                <c:pt idx="0">
                  <c:v>Sampling</c:v>
                </c:pt>
                <c:pt idx="1">
                  <c:v>Adding dummies</c:v>
                </c:pt>
                <c:pt idx="2">
                  <c:v>Shuffling</c:v>
                </c:pt>
              </c:strCache>
            </c:strRef>
          </c:cat>
          <c:val>
            <c:numRef>
              <c:f>details!$G$41:$I$41</c:f>
              <c:numCache>
                <c:formatCode>General</c:formatCode>
                <c:ptCount val="3"/>
                <c:pt idx="0">
                  <c:v>9.1712000000000002E-2</c:v>
                </c:pt>
                <c:pt idx="1">
                  <c:v>6.5620000000000001E-3</c:v>
                </c:pt>
                <c:pt idx="2">
                  <c:v>0.36892000000000003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FE-48FB-93F5-F2F2EA303BBC}"/>
            </c:ext>
          </c:extLst>
        </c:ser>
        <c:ser>
          <c:idx val="3"/>
          <c:order val="2"/>
          <c:tx>
            <c:strRef>
              <c:f>details!$M$39</c:f>
              <c:strCache>
                <c:ptCount val="1"/>
                <c:pt idx="0">
                  <c:v>FOLNF* (AGeo)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details!$M$41:$O$41</c:f>
              <c:numCache>
                <c:formatCode>General</c:formatCode>
                <c:ptCount val="3"/>
                <c:pt idx="0">
                  <c:v>9.0915999999999997E-2</c:v>
                </c:pt>
                <c:pt idx="1">
                  <c:v>5.169E-3</c:v>
                </c:pt>
                <c:pt idx="2">
                  <c:v>0.27807900000000002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FE-48FB-93F5-F2F2EA303BBC}"/>
            </c:ext>
          </c:extLst>
        </c:ser>
        <c:ser>
          <c:idx val="2"/>
          <c:order val="3"/>
          <c:tx>
            <c:strRef>
              <c:f>details!$J$39</c:f>
              <c:strCache>
                <c:ptCount val="1"/>
                <c:pt idx="0">
                  <c:v>FOLNF (1Geo)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details!$J$41:$L$41</c:f>
              <c:numCache>
                <c:formatCode>General</c:formatCode>
                <c:ptCount val="3"/>
                <c:pt idx="0">
                  <c:v>9.0511999999999995E-2</c:v>
                </c:pt>
                <c:pt idx="1">
                  <c:v>1.018E-3</c:v>
                </c:pt>
                <c:pt idx="2">
                  <c:v>0.17315800000000001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FE-48FB-93F5-F2F2EA303BBC}"/>
            </c:ext>
          </c:extLst>
        </c:ser>
        <c:ser>
          <c:idx val="4"/>
          <c:order val="4"/>
          <c:tx>
            <c:strRef>
              <c:f>details!$P$39</c:f>
              <c:strCache>
                <c:ptCount val="1"/>
                <c:pt idx="0">
                  <c:v>FOLNF* (1Geo)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details!$P$41:$R$41</c:f>
              <c:numCache>
                <c:formatCode>General</c:formatCode>
                <c:ptCount val="3"/>
                <c:pt idx="0">
                  <c:v>8.9965000000000003E-2</c:v>
                </c:pt>
                <c:pt idx="1">
                  <c:v>1.3960000000000001E-3</c:v>
                </c:pt>
                <c:pt idx="2">
                  <c:v>0.16857900000000001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FE-48FB-93F5-F2F2EA303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93087"/>
        <c:axId val="85184447"/>
      </c:barChart>
      <c:catAx>
        <c:axId val="8519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184447"/>
        <c:crossesAt val="1.0000000000000003E-4"/>
        <c:auto val="1"/>
        <c:lblAlgn val="ctr"/>
        <c:lblOffset val="100"/>
        <c:noMultiLvlLbl val="0"/>
      </c:catAx>
      <c:valAx>
        <c:axId val="85184447"/>
        <c:scaling>
          <c:logBase val="10"/>
          <c:orientation val="minMax"/>
          <c:min val="1.000000000000000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Runtime [s]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19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63406882441636"/>
          <c:y val="5.0925944490355965E-2"/>
          <c:w val="0.66874264612054446"/>
          <c:h val="0.841674628781943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details!$D$39</c:f>
              <c:strCache>
                <c:ptCount val="1"/>
                <c:pt idx="0">
                  <c:v>FOUD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details!$D$40:$F$40</c:f>
              <c:strCache>
                <c:ptCount val="3"/>
                <c:pt idx="0">
                  <c:v>Sampling</c:v>
                </c:pt>
                <c:pt idx="1">
                  <c:v>Adding dummies</c:v>
                </c:pt>
                <c:pt idx="2">
                  <c:v>Shuffling</c:v>
                </c:pt>
              </c:strCache>
            </c:strRef>
          </c:cat>
          <c:val>
            <c:numRef>
              <c:f>details!$D$42:$F$42</c:f>
              <c:numCache>
                <c:formatCode>General</c:formatCode>
                <c:ptCount val="3"/>
                <c:pt idx="0">
                  <c:v>1.2300000000000001E-4</c:v>
                </c:pt>
                <c:pt idx="1">
                  <c:v>0.55007499999999998</c:v>
                </c:pt>
                <c:pt idx="2">
                  <c:v>8.4180840000000003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E-43B3-A104-81916FBA6B05}"/>
            </c:ext>
          </c:extLst>
        </c:ser>
        <c:ser>
          <c:idx val="1"/>
          <c:order val="1"/>
          <c:tx>
            <c:strRef>
              <c:f>details!$G$39</c:f>
              <c:strCache>
                <c:ptCount val="1"/>
                <c:pt idx="0">
                  <c:v>FOLNF (AGeo)</c:v>
                </c:pt>
              </c:strCache>
            </c:strRef>
          </c:tx>
          <c:spPr>
            <a:solidFill>
              <a:srgbClr val="FF6600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details!$D$40:$F$40</c:f>
              <c:strCache>
                <c:ptCount val="3"/>
                <c:pt idx="0">
                  <c:v>Sampling</c:v>
                </c:pt>
                <c:pt idx="1">
                  <c:v>Adding dummies</c:v>
                </c:pt>
                <c:pt idx="2">
                  <c:v>Shuffling</c:v>
                </c:pt>
              </c:strCache>
            </c:strRef>
          </c:cat>
          <c:val>
            <c:numRef>
              <c:f>details!$G$42:$I$42</c:f>
              <c:numCache>
                <c:formatCode>General</c:formatCode>
                <c:ptCount val="3"/>
                <c:pt idx="0">
                  <c:v>1.2799999999999999E-4</c:v>
                </c:pt>
                <c:pt idx="1">
                  <c:v>6.0070000000000002E-3</c:v>
                </c:pt>
                <c:pt idx="2">
                  <c:v>0.188356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EE-43B3-A104-81916FBA6B05}"/>
            </c:ext>
          </c:extLst>
        </c:ser>
        <c:ser>
          <c:idx val="3"/>
          <c:order val="2"/>
          <c:tx>
            <c:strRef>
              <c:f>details!$M$39</c:f>
              <c:strCache>
                <c:ptCount val="1"/>
                <c:pt idx="0">
                  <c:v>FOLNF* (AGeo)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details!$M$42:$O$42</c:f>
              <c:numCache>
                <c:formatCode>General</c:formatCode>
                <c:ptCount val="3"/>
                <c:pt idx="0">
                  <c:v>1.3200000000000001E-4</c:v>
                </c:pt>
                <c:pt idx="1">
                  <c:v>4.6090000000000002E-3</c:v>
                </c:pt>
                <c:pt idx="2">
                  <c:v>9.4413999999999998E-2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EE-43B3-A104-81916FBA6B05}"/>
            </c:ext>
          </c:extLst>
        </c:ser>
        <c:ser>
          <c:idx val="2"/>
          <c:order val="3"/>
          <c:tx>
            <c:strRef>
              <c:f>details!$J$39</c:f>
              <c:strCache>
                <c:ptCount val="1"/>
                <c:pt idx="0">
                  <c:v>FOLNF (1Geo)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details!$J$42:$L$42</c:f>
              <c:numCache>
                <c:formatCode>General</c:formatCode>
                <c:ptCount val="3"/>
                <c:pt idx="0">
                  <c:v>1.2799999999999999E-4</c:v>
                </c:pt>
                <c:pt idx="1">
                  <c:v>4.9899999999999999E-4</c:v>
                </c:pt>
                <c:pt idx="2">
                  <c:v>5.1180000000000002E-3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EE-43B3-A104-81916FBA6B05}"/>
            </c:ext>
          </c:extLst>
        </c:ser>
        <c:ser>
          <c:idx val="4"/>
          <c:order val="4"/>
          <c:tx>
            <c:strRef>
              <c:f>details!$P$39</c:f>
              <c:strCache>
                <c:ptCount val="1"/>
                <c:pt idx="0">
                  <c:v>FOLNF* (1Geo)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details!$P$42:$R$42</c:f>
              <c:numCache>
                <c:formatCode>General</c:formatCode>
                <c:ptCount val="3"/>
                <c:pt idx="0">
                  <c:v>1.27E-4</c:v>
                </c:pt>
                <c:pt idx="1">
                  <c:v>8.3600000000000005E-4</c:v>
                </c:pt>
                <c:pt idx="2">
                  <c:v>1.5380000000000001E-3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EE-43B3-A104-81916FBA6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193087"/>
        <c:axId val="85184447"/>
      </c:barChart>
      <c:catAx>
        <c:axId val="8519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184447"/>
        <c:crossesAt val="1.0000000000000003E-4"/>
        <c:auto val="1"/>
        <c:lblAlgn val="ctr"/>
        <c:lblOffset val="100"/>
        <c:noMultiLvlLbl val="0"/>
      </c:catAx>
      <c:valAx>
        <c:axId val="8518444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Runtime [s]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19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38648293963255"/>
          <c:y val="6.4933851823286454E-2"/>
          <c:w val="0.57372262677743502"/>
          <c:h val="0.78724998846009719"/>
        </c:manualLayout>
      </c:layout>
      <c:scatterChart>
        <c:scatterStyle val="lineMarker"/>
        <c:varyColors val="0"/>
        <c:ser>
          <c:idx val="1"/>
          <c:order val="0"/>
          <c:tx>
            <c:strRef>
              <c:f>details!$R$29</c:f>
              <c:strCache>
                <c:ptCount val="1"/>
                <c:pt idx="0">
                  <c:v>FOLNF (AGeo)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details!$A$31:$A$36</c:f>
              <c:numCache>
                <c:formatCode>General</c:formatCode>
                <c:ptCount val="6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  <c:pt idx="5">
                  <c:v>100000000</c:v>
                </c:pt>
              </c:numCache>
            </c:numRef>
          </c:xVal>
          <c:yVal>
            <c:numRef>
              <c:f>details!$U$31:$U$36</c:f>
              <c:numCache>
                <c:formatCode>General</c:formatCode>
                <c:ptCount val="6"/>
                <c:pt idx="0">
                  <c:v>0.19396099999999999</c:v>
                </c:pt>
                <c:pt idx="1">
                  <c:v>2.369297</c:v>
                </c:pt>
                <c:pt idx="2">
                  <c:v>30.764946999999999</c:v>
                </c:pt>
                <c:pt idx="3">
                  <c:v>389.03055476153929</c:v>
                </c:pt>
                <c:pt idx="4">
                  <c:v>4799.5063711093771</c:v>
                </c:pt>
                <c:pt idx="5">
                  <c:v>58040.971704819582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9F-49BF-9C7C-55E46222E451}"/>
            </c:ext>
          </c:extLst>
        </c:ser>
        <c:ser>
          <c:idx val="2"/>
          <c:order val="1"/>
          <c:tx>
            <c:strRef>
              <c:f>details!$V$29</c:f>
              <c:strCache>
                <c:ptCount val="1"/>
                <c:pt idx="0">
                  <c:v>FOLNF (1Geo)</c:v>
                </c:pt>
              </c:strCache>
            </c:strRef>
          </c:tx>
          <c:spPr>
            <a:ln w="9525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7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details!$A$31:$A$36</c:f>
              <c:numCache>
                <c:formatCode>General</c:formatCode>
                <c:ptCount val="6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  <c:pt idx="5">
                  <c:v>100000000</c:v>
                </c:pt>
              </c:numCache>
            </c:numRef>
          </c:xVal>
          <c:yVal>
            <c:numRef>
              <c:f>details!$Y$31:$Y$36</c:f>
              <c:numCache>
                <c:formatCode>General</c:formatCode>
                <c:ptCount val="6"/>
                <c:pt idx="0">
                  <c:v>5.731E-3</c:v>
                </c:pt>
                <c:pt idx="1">
                  <c:v>6.9078000000000001E-2</c:v>
                </c:pt>
                <c:pt idx="2">
                  <c:v>0.82744099999999998</c:v>
                </c:pt>
                <c:pt idx="3">
                  <c:v>10.966180246277622</c:v>
                </c:pt>
                <c:pt idx="4">
                  <c:v>140.36391662777871</c:v>
                </c:pt>
                <c:pt idx="5">
                  <c:v>1748.5044249500738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9F-49BF-9C7C-55E46222E451}"/>
            </c:ext>
          </c:extLst>
        </c:ser>
        <c:ser>
          <c:idx val="3"/>
          <c:order val="2"/>
          <c:tx>
            <c:strRef>
              <c:f>details!$Z$29</c:f>
              <c:strCache>
                <c:ptCount val="1"/>
                <c:pt idx="0">
                  <c:v>FOLNF* (AGeo)</c:v>
                </c:pt>
              </c:strCache>
            </c:strRef>
          </c:tx>
          <c:spPr>
            <a:ln w="95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details!$A$31:$A$36</c:f>
              <c:numCache>
                <c:formatCode>General</c:formatCode>
                <c:ptCount val="6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  <c:pt idx="5">
                  <c:v>100000000</c:v>
                </c:pt>
              </c:numCache>
            </c:numRef>
          </c:xVal>
          <c:yVal>
            <c:numRef>
              <c:f>details!$AC$31:$AC$36</c:f>
              <c:numCache>
                <c:formatCode>General</c:formatCode>
                <c:ptCount val="6"/>
                <c:pt idx="0">
                  <c:v>9.8932000000000006E-2</c:v>
                </c:pt>
                <c:pt idx="1">
                  <c:v>1.1825380000000001</c:v>
                </c:pt>
                <c:pt idx="2">
                  <c:v>14.861146</c:v>
                </c:pt>
                <c:pt idx="3">
                  <c:v>189.41280468976393</c:v>
                </c:pt>
                <c:pt idx="4">
                  <c:v>2351.5716159930944</c:v>
                </c:pt>
                <c:pt idx="5">
                  <c:v>28584.453072863642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69F-49BF-9C7C-55E46222E451}"/>
            </c:ext>
          </c:extLst>
        </c:ser>
        <c:ser>
          <c:idx val="4"/>
          <c:order val="3"/>
          <c:tx>
            <c:strRef>
              <c:f>details!$AD$29</c:f>
              <c:strCache>
                <c:ptCount val="1"/>
                <c:pt idx="0">
                  <c:v>FOLNF* (1Geo)</c:v>
                </c:pt>
              </c:strCache>
            </c:strRef>
          </c:tx>
          <c:spPr>
            <a:ln w="9525" cap="rnd">
              <a:solidFill>
                <a:srgbClr val="00206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details!$A$31:$A$36</c:f>
              <c:numCache>
                <c:formatCode>General</c:formatCode>
                <c:ptCount val="6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  <c:pt idx="3">
                  <c:v>1000000</c:v>
                </c:pt>
                <c:pt idx="4">
                  <c:v>10000000</c:v>
                </c:pt>
                <c:pt idx="5">
                  <c:v>100000000</c:v>
                </c:pt>
              </c:numCache>
            </c:numRef>
          </c:xVal>
          <c:yVal>
            <c:numRef>
              <c:f>details!$AG$31:$AG$36</c:f>
              <c:numCache>
                <c:formatCode>General</c:formatCode>
                <c:ptCount val="6"/>
                <c:pt idx="0">
                  <c:v>2.5300000000000001E-3</c:v>
                </c:pt>
                <c:pt idx="1">
                  <c:v>3.0488000000000001E-2</c:v>
                </c:pt>
                <c:pt idx="2">
                  <c:v>0.35034500000000002</c:v>
                </c:pt>
                <c:pt idx="3">
                  <c:v>4.7311652559015185</c:v>
                </c:pt>
                <c:pt idx="4">
                  <c:v>61.429516859572445</c:v>
                </c:pt>
                <c:pt idx="5">
                  <c:v>773.88092901671803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69F-49BF-9C7C-55E46222E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638751"/>
        <c:axId val="1816659391"/>
      </c:scatterChart>
      <c:valAx>
        <c:axId val="1816638751"/>
        <c:scaling>
          <c:logBase val="10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 (=d)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6659391"/>
        <c:crossesAt val="1.0000000000000003E-4"/>
        <c:crossBetween val="midCat"/>
      </c:valAx>
      <c:valAx>
        <c:axId val="1816659391"/>
        <c:scaling>
          <c:logBase val="10"/>
          <c:orientation val="minMax"/>
          <c:max val="100000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Runtime</a:t>
                </a:r>
                <a:r>
                  <a:rPr lang="en-US" altLang="ja-JP" baseline="0"/>
                  <a:t> [s]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663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52626540750508"/>
          <c:y val="0.32928186060075826"/>
          <c:w val="0.23912215463564171"/>
          <c:h val="0.39014971813842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38648293963255"/>
          <c:y val="5.5549831225303208E-2"/>
          <c:w val="0.57372262677743502"/>
          <c:h val="0.79663404526606185"/>
        </c:manualLayout>
      </c:layout>
      <c:scatterChart>
        <c:scatterStyle val="lineMarker"/>
        <c:varyColors val="0"/>
        <c:ser>
          <c:idx val="1"/>
          <c:order val="0"/>
          <c:tx>
            <c:strRef>
              <c:f>'details (Sasy-OR)'!$J$2</c:f>
              <c:strCache>
                <c:ptCount val="1"/>
                <c:pt idx="0">
                  <c:v>FOLNF (AGeo)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'details (Sasy-OR)'!$A$4:$A$8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'details (Sasy-OR)'!$U$4:$U$8</c:f>
              <c:numCache>
                <c:formatCode>General</c:formatCode>
                <c:ptCount val="5"/>
                <c:pt idx="0">
                  <c:v>2.8911359999999999</c:v>
                </c:pt>
                <c:pt idx="1">
                  <c:v>2.9115500000000001</c:v>
                </c:pt>
                <c:pt idx="2">
                  <c:v>2.9207969999999999</c:v>
                </c:pt>
                <c:pt idx="3">
                  <c:v>3.2289340000000002</c:v>
                </c:pt>
                <c:pt idx="4">
                  <c:v>6.3868109999999998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98-4E8B-94D6-5C06195AF8EF}"/>
            </c:ext>
          </c:extLst>
        </c:ser>
        <c:ser>
          <c:idx val="3"/>
          <c:order val="1"/>
          <c:tx>
            <c:strRef>
              <c:f>'details (Sasy-OR)'!$L$2</c:f>
              <c:strCache>
                <c:ptCount val="1"/>
                <c:pt idx="0">
                  <c:v>FOLNF* (AGeo)</c:v>
                </c:pt>
              </c:strCache>
            </c:strRef>
          </c:tx>
          <c:spPr>
            <a:ln w="95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'details (Sasy-OR)'!$A$4:$A$8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'details (Sasy-OR)'!$AC$4:$AC$8</c:f>
              <c:numCache>
                <c:formatCode>General</c:formatCode>
                <c:ptCount val="5"/>
                <c:pt idx="0">
                  <c:v>1.344654</c:v>
                </c:pt>
                <c:pt idx="1">
                  <c:v>1.3411649999999999</c:v>
                </c:pt>
                <c:pt idx="2">
                  <c:v>1.378495</c:v>
                </c:pt>
                <c:pt idx="3">
                  <c:v>1.6580349999999999</c:v>
                </c:pt>
                <c:pt idx="4">
                  <c:v>4.6452179999999998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98-4E8B-94D6-5C06195AF8EF}"/>
            </c:ext>
          </c:extLst>
        </c:ser>
        <c:ser>
          <c:idx val="2"/>
          <c:order val="2"/>
          <c:tx>
            <c:strRef>
              <c:f>'details (Sasy-OR)'!$K$2</c:f>
              <c:strCache>
                <c:ptCount val="1"/>
                <c:pt idx="0">
                  <c:v>FOLNF (1Geo)</c:v>
                </c:pt>
              </c:strCache>
            </c:strRef>
          </c:tx>
          <c:spPr>
            <a:ln w="9525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7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'details (Sasy-OR)'!$A$4:$A$8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'details (Sasy-OR)'!$Y$4:$Y$8</c:f>
              <c:numCache>
                <c:formatCode>General</c:formatCode>
                <c:ptCount val="5"/>
                <c:pt idx="0">
                  <c:v>5.8030999999999999E-2</c:v>
                </c:pt>
                <c:pt idx="1">
                  <c:v>5.9797999999999997E-2</c:v>
                </c:pt>
                <c:pt idx="2">
                  <c:v>7.6447000000000001E-2</c:v>
                </c:pt>
                <c:pt idx="3">
                  <c:v>0.25861899999999999</c:v>
                </c:pt>
                <c:pt idx="4">
                  <c:v>2.742143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98-4E8B-94D6-5C06195AF8EF}"/>
            </c:ext>
          </c:extLst>
        </c:ser>
        <c:ser>
          <c:idx val="4"/>
          <c:order val="3"/>
          <c:tx>
            <c:strRef>
              <c:f>'details (Sasy-OR)'!$M$2</c:f>
              <c:strCache>
                <c:ptCount val="1"/>
                <c:pt idx="0">
                  <c:v>FOLNF* (1Geo)</c:v>
                </c:pt>
              </c:strCache>
            </c:strRef>
          </c:tx>
          <c:spPr>
            <a:ln w="9525" cap="rnd">
              <a:solidFill>
                <a:srgbClr val="00206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'details (Sasy-OR)'!$A$4:$A$8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'details (Sasy-OR)'!$AG$4:$AG$8</c:f>
              <c:numCache>
                <c:formatCode>General</c:formatCode>
                <c:ptCount val="5"/>
                <c:pt idx="0">
                  <c:v>1.7183E-2</c:v>
                </c:pt>
                <c:pt idx="1">
                  <c:v>1.8263999999999999E-2</c:v>
                </c:pt>
                <c:pt idx="2">
                  <c:v>3.252E-2</c:v>
                </c:pt>
                <c:pt idx="3">
                  <c:v>0.20463400000000001</c:v>
                </c:pt>
                <c:pt idx="4">
                  <c:v>2.7393550000000002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98-4E8B-94D6-5C06195AF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638751"/>
        <c:axId val="1816659391"/>
      </c:scatterChart>
      <c:valAx>
        <c:axId val="1816638751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6659391"/>
        <c:crossesAt val="1.0000000000000002E-3"/>
        <c:crossBetween val="midCat"/>
      </c:valAx>
      <c:valAx>
        <c:axId val="1816659391"/>
        <c:scaling>
          <c:logBase val="10"/>
          <c:orientation val="minMax"/>
          <c:max val="10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Rum</a:t>
                </a:r>
                <a:r>
                  <a:rPr lang="en-US" altLang="ja-JP" baseline="0"/>
                  <a:t>time [s]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663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52626540750508"/>
          <c:y val="0.32928186060075826"/>
          <c:w val="0.26915435249689024"/>
          <c:h val="0.323495917177019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38648293963255"/>
          <c:y val="6.0173795521017009E-2"/>
          <c:w val="0.57372262677743502"/>
          <c:h val="0.79201008097034797"/>
        </c:manualLayout>
      </c:layout>
      <c:scatterChart>
        <c:scatterStyle val="lineMarker"/>
        <c:varyColors val="0"/>
        <c:ser>
          <c:idx val="1"/>
          <c:order val="0"/>
          <c:tx>
            <c:strRef>
              <c:f>'details (Sasy-OR)'!$J$2</c:f>
              <c:strCache>
                <c:ptCount val="1"/>
                <c:pt idx="0">
                  <c:v>FOLNF (AGeo)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'details (Sasy-OR)'!$B$13:$B$17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'details (Sasy-OR)'!$U$13:$U$17</c:f>
              <c:numCache>
                <c:formatCode>General</c:formatCode>
                <c:ptCount val="5"/>
                <c:pt idx="0">
                  <c:v>0.185831</c:v>
                </c:pt>
                <c:pt idx="1">
                  <c:v>2.873135</c:v>
                </c:pt>
                <c:pt idx="2">
                  <c:v>2.8744900000000002</c:v>
                </c:pt>
                <c:pt idx="3">
                  <c:v>2.8744900000000002</c:v>
                </c:pt>
                <c:pt idx="4">
                  <c:v>2.8744900000000002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4B-42EC-93DE-823379468E2A}"/>
            </c:ext>
          </c:extLst>
        </c:ser>
        <c:ser>
          <c:idx val="3"/>
          <c:order val="1"/>
          <c:tx>
            <c:strRef>
              <c:f>'details (Sasy-OR)'!$L$2</c:f>
              <c:strCache>
                <c:ptCount val="1"/>
                <c:pt idx="0">
                  <c:v>FOLNF* (AGeo)</c:v>
                </c:pt>
              </c:strCache>
            </c:strRef>
          </c:tx>
          <c:spPr>
            <a:ln w="95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'details (Sasy-OR)'!$B$13:$B$17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'details (Sasy-OR)'!$AC$13:$AC$17</c:f>
              <c:numCache>
                <c:formatCode>General</c:formatCode>
                <c:ptCount val="5"/>
                <c:pt idx="0">
                  <c:v>8.8333999999999996E-2</c:v>
                </c:pt>
                <c:pt idx="1">
                  <c:v>1.3513489999999999</c:v>
                </c:pt>
                <c:pt idx="2">
                  <c:v>1.358546</c:v>
                </c:pt>
                <c:pt idx="3">
                  <c:v>1.358546</c:v>
                </c:pt>
                <c:pt idx="4">
                  <c:v>1.358546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4B-42EC-93DE-823379468E2A}"/>
            </c:ext>
          </c:extLst>
        </c:ser>
        <c:ser>
          <c:idx val="2"/>
          <c:order val="2"/>
          <c:tx>
            <c:strRef>
              <c:f>'details (Sasy-OR)'!$K$2</c:f>
              <c:strCache>
                <c:ptCount val="1"/>
                <c:pt idx="0">
                  <c:v>FOLNF (1Geo)</c:v>
                </c:pt>
              </c:strCache>
            </c:strRef>
          </c:tx>
          <c:spPr>
            <a:ln w="9525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7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'details (Sasy-OR)'!$B$13:$B$17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'details (Sasy-OR)'!$Y$13:$Y$17</c:f>
              <c:numCache>
                <c:formatCode>General</c:formatCode>
                <c:ptCount val="5"/>
                <c:pt idx="0">
                  <c:v>5.032E-3</c:v>
                </c:pt>
                <c:pt idx="1">
                  <c:v>5.9581000000000002E-2</c:v>
                </c:pt>
                <c:pt idx="2">
                  <c:v>5.9334999999999999E-2</c:v>
                </c:pt>
                <c:pt idx="3">
                  <c:v>5.9334999999999999E-2</c:v>
                </c:pt>
                <c:pt idx="4">
                  <c:v>5.9334999999999999E-2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4B-42EC-93DE-823379468E2A}"/>
            </c:ext>
          </c:extLst>
        </c:ser>
        <c:ser>
          <c:idx val="4"/>
          <c:order val="3"/>
          <c:tx>
            <c:strRef>
              <c:f>'details (Sasy-OR)'!$M$2</c:f>
              <c:strCache>
                <c:ptCount val="1"/>
                <c:pt idx="0">
                  <c:v>FOLNF* (1Geo)</c:v>
                </c:pt>
              </c:strCache>
            </c:strRef>
          </c:tx>
          <c:spPr>
            <a:ln w="9525" cap="rnd">
              <a:solidFill>
                <a:srgbClr val="00206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'details (Sasy-OR)'!$B$13:$B$17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'details (Sasy-OR)'!$AG$13:$AG$17</c:f>
              <c:numCache>
                <c:formatCode>General</c:formatCode>
                <c:ptCount val="5"/>
                <c:pt idx="0">
                  <c:v>2.281E-3</c:v>
                </c:pt>
                <c:pt idx="1">
                  <c:v>1.8376E-2</c:v>
                </c:pt>
                <c:pt idx="2">
                  <c:v>1.848E-2</c:v>
                </c:pt>
                <c:pt idx="3">
                  <c:v>1.848E-2</c:v>
                </c:pt>
                <c:pt idx="4">
                  <c:v>1.848E-2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4B-42EC-93DE-823379468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638751"/>
        <c:axId val="1816659391"/>
      </c:scatterChart>
      <c:valAx>
        <c:axId val="1816638751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6659391"/>
        <c:crossesAt val="1.0000000000000002E-3"/>
        <c:crossBetween val="midCat"/>
      </c:valAx>
      <c:valAx>
        <c:axId val="1816659391"/>
        <c:scaling>
          <c:logBase val="10"/>
          <c:orientation val="minMax"/>
          <c:max val="10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Runtime</a:t>
                </a:r>
                <a:r>
                  <a:rPr lang="en-US" altLang="ja-JP" baseline="0"/>
                  <a:t> [s]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663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52626540750508"/>
          <c:y val="0.32928186060075826"/>
          <c:w val="0.26915435249689024"/>
          <c:h val="0.323495917177019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38648293963255"/>
          <c:y val="4.1677938338161788E-2"/>
          <c:w val="0.57372262677743502"/>
          <c:h val="0.81050593815320326"/>
        </c:manualLayout>
      </c:layout>
      <c:scatterChart>
        <c:scatterStyle val="lineMarker"/>
        <c:varyColors val="0"/>
        <c:ser>
          <c:idx val="1"/>
          <c:order val="0"/>
          <c:tx>
            <c:strRef>
              <c:f>'details (Sasy-Waks)'!$J$2</c:f>
              <c:strCache>
                <c:ptCount val="1"/>
                <c:pt idx="0">
                  <c:v>FOLNF (AGeo)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'details (Sasy-Waks)'!$A$4:$A$8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'details (Sasy-Waks)'!$U$4:$U$8</c:f>
              <c:numCache>
                <c:formatCode>General</c:formatCode>
                <c:ptCount val="5"/>
                <c:pt idx="0">
                  <c:v>11.721965000000001</c:v>
                </c:pt>
                <c:pt idx="1">
                  <c:v>11.735302000000001</c:v>
                </c:pt>
                <c:pt idx="2">
                  <c:v>11.837598</c:v>
                </c:pt>
                <c:pt idx="3">
                  <c:v>13.312718</c:v>
                </c:pt>
                <c:pt idx="4">
                  <c:v>26.093038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0F-48AB-8BF4-49EC3E263A42}"/>
            </c:ext>
          </c:extLst>
        </c:ser>
        <c:ser>
          <c:idx val="3"/>
          <c:order val="1"/>
          <c:tx>
            <c:strRef>
              <c:f>'details (Sasy-Waks)'!$L$2</c:f>
              <c:strCache>
                <c:ptCount val="1"/>
                <c:pt idx="0">
                  <c:v>FOLNF* (AGeo)</c:v>
                </c:pt>
              </c:strCache>
            </c:strRef>
          </c:tx>
          <c:spPr>
            <a:ln w="95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'details (Sasy-Waks)'!$A$4:$A$8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'details (Sasy-Waks)'!$AC$4:$AC$8</c:f>
              <c:numCache>
                <c:formatCode>General</c:formatCode>
                <c:ptCount val="5"/>
                <c:pt idx="0">
                  <c:v>5.4115789999999997</c:v>
                </c:pt>
                <c:pt idx="1">
                  <c:v>5.4023000000000003</c:v>
                </c:pt>
                <c:pt idx="2">
                  <c:v>5.4583069999999996</c:v>
                </c:pt>
                <c:pt idx="3">
                  <c:v>6.7235250000000004</c:v>
                </c:pt>
                <c:pt idx="4">
                  <c:v>19.057223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0F-48AB-8BF4-49EC3E263A42}"/>
            </c:ext>
          </c:extLst>
        </c:ser>
        <c:ser>
          <c:idx val="2"/>
          <c:order val="2"/>
          <c:tx>
            <c:strRef>
              <c:f>'details (Sasy-Waks)'!$K$2</c:f>
              <c:strCache>
                <c:ptCount val="1"/>
                <c:pt idx="0">
                  <c:v>FOLNF (1Geo)</c:v>
                </c:pt>
              </c:strCache>
            </c:strRef>
          </c:tx>
          <c:spPr>
            <a:ln w="9525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7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'details (Sasy-Waks)'!$A$4:$A$8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'details (Sasy-Waks)'!$Y$4:$Y$8</c:f>
              <c:numCache>
                <c:formatCode>General</c:formatCode>
                <c:ptCount val="5"/>
                <c:pt idx="0">
                  <c:v>0.22672200000000001</c:v>
                </c:pt>
                <c:pt idx="1">
                  <c:v>0.23147300000000001</c:v>
                </c:pt>
                <c:pt idx="2">
                  <c:v>0.290601</c:v>
                </c:pt>
                <c:pt idx="3">
                  <c:v>0.99966200000000005</c:v>
                </c:pt>
                <c:pt idx="4">
                  <c:v>11.150141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0F-48AB-8BF4-49EC3E263A42}"/>
            </c:ext>
          </c:extLst>
        </c:ser>
        <c:ser>
          <c:idx val="4"/>
          <c:order val="3"/>
          <c:tx>
            <c:strRef>
              <c:f>'details (Sasy-Waks)'!$M$2</c:f>
              <c:strCache>
                <c:ptCount val="1"/>
                <c:pt idx="0">
                  <c:v>FOLNF* (1Geo)</c:v>
                </c:pt>
              </c:strCache>
            </c:strRef>
          </c:tx>
          <c:spPr>
            <a:ln w="9525" cap="rnd">
              <a:solidFill>
                <a:srgbClr val="00206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'details (Sasy-Waks)'!$A$4:$A$8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'details (Sasy-Waks)'!$AG$4:$AG$8</c:f>
              <c:numCache>
                <c:formatCode>General</c:formatCode>
                <c:ptCount val="5"/>
                <c:pt idx="0">
                  <c:v>6.4335000000000003E-2</c:v>
                </c:pt>
                <c:pt idx="1">
                  <c:v>6.9098999999999994E-2</c:v>
                </c:pt>
                <c:pt idx="2">
                  <c:v>0.12246</c:v>
                </c:pt>
                <c:pt idx="3">
                  <c:v>0.77860300000000005</c:v>
                </c:pt>
                <c:pt idx="4">
                  <c:v>10.571505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0F-48AB-8BF4-49EC3E263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638751"/>
        <c:axId val="1816659391"/>
      </c:scatterChart>
      <c:valAx>
        <c:axId val="1816638751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6659391"/>
        <c:crossesAt val="1.0000000000000002E-3"/>
        <c:crossBetween val="midCat"/>
      </c:valAx>
      <c:valAx>
        <c:axId val="1816659391"/>
        <c:scaling>
          <c:logBase val="10"/>
          <c:orientation val="minMax"/>
          <c:max val="100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Rum</a:t>
                </a:r>
                <a:r>
                  <a:rPr lang="en-US" altLang="ja-JP" baseline="0"/>
                  <a:t>time [s]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663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52626540750508"/>
          <c:y val="0.32928186060075826"/>
          <c:w val="0.26915435249689024"/>
          <c:h val="0.323495917177019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38648293963255"/>
          <c:y val="5.0925866929589406E-2"/>
          <c:w val="0.57372262677743502"/>
          <c:h val="0.80125800956177562"/>
        </c:manualLayout>
      </c:layout>
      <c:scatterChart>
        <c:scatterStyle val="lineMarker"/>
        <c:varyColors val="0"/>
        <c:ser>
          <c:idx val="1"/>
          <c:order val="0"/>
          <c:tx>
            <c:strRef>
              <c:f>'details (Sasy-Waks)'!$J$2</c:f>
              <c:strCache>
                <c:ptCount val="1"/>
                <c:pt idx="0">
                  <c:v>FOLNF (AGeo)</c:v>
                </c:pt>
              </c:strCache>
            </c:strRef>
          </c:tx>
          <c:spPr>
            <a:ln w="95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'details (Sasy-Waks)'!$B$13:$B$17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'details (Sasy-Waks)'!$U$13:$U$17</c:f>
              <c:numCache>
                <c:formatCode>General</c:formatCode>
                <c:ptCount val="5"/>
                <c:pt idx="0">
                  <c:v>0.73741900000000005</c:v>
                </c:pt>
                <c:pt idx="1">
                  <c:v>12.319357999999999</c:v>
                </c:pt>
                <c:pt idx="2">
                  <c:v>11.726063</c:v>
                </c:pt>
                <c:pt idx="3">
                  <c:v>11.726063</c:v>
                </c:pt>
                <c:pt idx="4">
                  <c:v>11.726063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5D-42DF-BDB6-93638EB65AEA}"/>
            </c:ext>
          </c:extLst>
        </c:ser>
        <c:ser>
          <c:idx val="3"/>
          <c:order val="1"/>
          <c:tx>
            <c:strRef>
              <c:f>'details (Sasy-Waks)'!$L$2</c:f>
              <c:strCache>
                <c:ptCount val="1"/>
                <c:pt idx="0">
                  <c:v>FOLNF* (AGeo)</c:v>
                </c:pt>
              </c:strCache>
            </c:strRef>
          </c:tx>
          <c:spPr>
            <a:ln w="952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'details (Sasy-Waks)'!$B$13:$B$17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'details (Sasy-Waks)'!$AC$13:$AC$17</c:f>
              <c:numCache>
                <c:formatCode>General</c:formatCode>
                <c:ptCount val="5"/>
                <c:pt idx="0">
                  <c:v>0.34672799999999998</c:v>
                </c:pt>
                <c:pt idx="1">
                  <c:v>5.5992800000000003</c:v>
                </c:pt>
                <c:pt idx="2">
                  <c:v>5.5078630000000004</c:v>
                </c:pt>
                <c:pt idx="3">
                  <c:v>5.5078630000000004</c:v>
                </c:pt>
                <c:pt idx="4">
                  <c:v>5.5078630000000004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5D-42DF-BDB6-93638EB65AEA}"/>
            </c:ext>
          </c:extLst>
        </c:ser>
        <c:ser>
          <c:idx val="2"/>
          <c:order val="2"/>
          <c:tx>
            <c:strRef>
              <c:f>'details (Sasy-Waks)'!$K$2</c:f>
              <c:strCache>
                <c:ptCount val="1"/>
                <c:pt idx="0">
                  <c:v>FOLNF (1Geo)</c:v>
                </c:pt>
              </c:strCache>
            </c:strRef>
          </c:tx>
          <c:spPr>
            <a:ln w="9525" cap="rnd">
              <a:solidFill>
                <a:srgbClr val="0070C0"/>
              </a:solidFill>
              <a:round/>
            </a:ln>
            <a:effectLst/>
          </c:spPr>
          <c:marker>
            <c:symbol val="triangle"/>
            <c:size val="7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'details (Sasy-Waks)'!$B$13:$B$17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'details (Sasy-Waks)'!$Y$13:$Y$17</c:f>
              <c:numCache>
                <c:formatCode>General</c:formatCode>
                <c:ptCount val="5"/>
                <c:pt idx="0">
                  <c:v>1.9302E-2</c:v>
                </c:pt>
                <c:pt idx="1">
                  <c:v>0.23119600000000001</c:v>
                </c:pt>
                <c:pt idx="2">
                  <c:v>0.231485</c:v>
                </c:pt>
                <c:pt idx="3">
                  <c:v>0.231485</c:v>
                </c:pt>
                <c:pt idx="4">
                  <c:v>0.231485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5D-42DF-BDB6-93638EB65AEA}"/>
            </c:ext>
          </c:extLst>
        </c:ser>
        <c:ser>
          <c:idx val="4"/>
          <c:order val="3"/>
          <c:tx>
            <c:strRef>
              <c:f>'details (Sasy-Waks)'!$M$2</c:f>
              <c:strCache>
                <c:ptCount val="1"/>
                <c:pt idx="0">
                  <c:v>FOLNF* (1Geo)</c:v>
                </c:pt>
              </c:strCache>
            </c:strRef>
          </c:tx>
          <c:spPr>
            <a:ln w="9525" cap="rnd">
              <a:solidFill>
                <a:srgbClr val="002060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'details (Sasy-Waks)'!$B$13:$B$17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'details (Sasy-Waks)'!$AG$13:$AG$17</c:f>
              <c:numCache>
                <c:formatCode>General</c:formatCode>
                <c:ptCount val="5"/>
                <c:pt idx="0">
                  <c:v>8.2389999999999998E-3</c:v>
                </c:pt>
                <c:pt idx="1">
                  <c:v>6.8581000000000003E-2</c:v>
                </c:pt>
                <c:pt idx="2">
                  <c:v>6.9611999999999993E-2</c:v>
                </c:pt>
                <c:pt idx="3">
                  <c:v>6.9611999999999993E-2</c:v>
                </c:pt>
                <c:pt idx="4">
                  <c:v>6.9611999999999993E-2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5D-42DF-BDB6-93638EB65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638751"/>
        <c:axId val="1816659391"/>
      </c:scatterChart>
      <c:valAx>
        <c:axId val="1816638751"/>
        <c:scaling>
          <c:logBase val="10"/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6659391"/>
        <c:crossesAt val="1.0000000000000002E-3"/>
        <c:crossBetween val="midCat"/>
      </c:valAx>
      <c:valAx>
        <c:axId val="1816659391"/>
        <c:scaling>
          <c:logBase val="10"/>
          <c:orientation val="minMax"/>
          <c:max val="100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Runtime</a:t>
                </a:r>
                <a:r>
                  <a:rPr lang="en-US" altLang="ja-JP" baseline="0"/>
                  <a:t> [s]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16638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52626540750508"/>
          <c:y val="0.32928186060075826"/>
          <c:w val="0.26915435249689024"/>
          <c:h val="0.323495917177019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129785</xdr:colOff>
      <xdr:row>19</xdr:row>
      <xdr:rowOff>38919</xdr:rowOff>
    </xdr:from>
    <xdr:to>
      <xdr:col>4</xdr:col>
      <xdr:colOff>900185</xdr:colOff>
      <xdr:row>31</xdr:row>
      <xdr:rowOff>42279</xdr:rowOff>
    </xdr:to>
    <xdr:graphicFrame macro="">
      <xdr:nvGraphicFramePr>
        <xdr:cNvPr id="27" name="グラフ 26">
          <a:extLst>
            <a:ext uri="{FF2B5EF4-FFF2-40B4-BE49-F238E27FC236}">
              <a16:creationId xmlns:a16="http://schemas.microsoft.com/office/drawing/2014/main" id="{B7791836-F6BA-4037-AFAC-342B60BF1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235403</xdr:colOff>
      <xdr:row>19</xdr:row>
      <xdr:rowOff>31136</xdr:rowOff>
    </xdr:from>
    <xdr:to>
      <xdr:col>9</xdr:col>
      <xdr:colOff>529838</xdr:colOff>
      <xdr:row>31</xdr:row>
      <xdr:rowOff>29734</xdr:rowOff>
    </xdr:to>
    <xdr:graphicFrame macro="">
      <xdr:nvGraphicFramePr>
        <xdr:cNvPr id="28" name="グラフ 27">
          <a:extLst>
            <a:ext uri="{FF2B5EF4-FFF2-40B4-BE49-F238E27FC236}">
              <a16:creationId xmlns:a16="http://schemas.microsoft.com/office/drawing/2014/main" id="{CEB3877B-E4BB-42B5-8DC4-3AB41BCF5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119179</xdr:colOff>
      <xdr:row>3</xdr:row>
      <xdr:rowOff>70795</xdr:rowOff>
    </xdr:from>
    <xdr:to>
      <xdr:col>4</xdr:col>
      <xdr:colOff>852606</xdr:colOff>
      <xdr:row>15</xdr:row>
      <xdr:rowOff>92005</xdr:rowOff>
    </xdr:to>
    <xdr:graphicFrame macro="">
      <xdr:nvGraphicFramePr>
        <xdr:cNvPr id="30" name="グラフ 29">
          <a:extLst>
            <a:ext uri="{FF2B5EF4-FFF2-40B4-BE49-F238E27FC236}">
              <a16:creationId xmlns:a16="http://schemas.microsoft.com/office/drawing/2014/main" id="{89F17BE8-BD29-4E55-837F-5EF6E49CC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168527</xdr:colOff>
      <xdr:row>3</xdr:row>
      <xdr:rowOff>86404</xdr:rowOff>
    </xdr:from>
    <xdr:to>
      <xdr:col>9</xdr:col>
      <xdr:colOff>587629</xdr:colOff>
      <xdr:row>15</xdr:row>
      <xdr:rowOff>95649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D01F7D0-8252-47B9-9717-DE17EB2C4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108777</xdr:colOff>
      <xdr:row>19</xdr:row>
      <xdr:rowOff>42502</xdr:rowOff>
    </xdr:from>
    <xdr:to>
      <xdr:col>13</xdr:col>
      <xdr:colOff>423104</xdr:colOff>
      <xdr:row>31</xdr:row>
      <xdr:rowOff>50625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62D4975E-FE19-4E96-AA5D-37DC6A7D2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136072</xdr:colOff>
      <xdr:row>34</xdr:row>
      <xdr:rowOff>63173</xdr:rowOff>
    </xdr:from>
    <xdr:to>
      <xdr:col>4</xdr:col>
      <xdr:colOff>769363</xdr:colOff>
      <xdr:row>46</xdr:row>
      <xdr:rowOff>115520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0E6B1C2-B34C-4232-858F-FE3686513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1028500</xdr:colOff>
      <xdr:row>34</xdr:row>
      <xdr:rowOff>47626</xdr:rowOff>
    </xdr:from>
    <xdr:to>
      <xdr:col>9</xdr:col>
      <xdr:colOff>243929</xdr:colOff>
      <xdr:row>46</xdr:row>
      <xdr:rowOff>99973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DB8E02B-7E40-487F-9201-42E3C03D3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136071</xdr:colOff>
      <xdr:row>49</xdr:row>
      <xdr:rowOff>90386</xdr:rowOff>
    </xdr:from>
    <xdr:to>
      <xdr:col>4</xdr:col>
      <xdr:colOff>769362</xdr:colOff>
      <xdr:row>61</xdr:row>
      <xdr:rowOff>142733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12C1F20C-C336-48E7-BFFA-3E304FD63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1028499</xdr:colOff>
      <xdr:row>49</xdr:row>
      <xdr:rowOff>74839</xdr:rowOff>
    </xdr:from>
    <xdr:to>
      <xdr:col>9</xdr:col>
      <xdr:colOff>243928</xdr:colOff>
      <xdr:row>61</xdr:row>
      <xdr:rowOff>127186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9AA202E-4686-42AC-8A30-7BF7202B5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9AB5-5EE8-4E63-B269-55BC9869FC96}">
  <dimension ref="A1:K49"/>
  <sheetViews>
    <sheetView tabSelected="1" topLeftCell="A31" zoomScale="70" zoomScaleNormal="70" workbookViewId="0">
      <selection activeCell="A63" sqref="A63"/>
    </sheetView>
  </sheetViews>
  <sheetFormatPr defaultRowHeight="17.649999999999999"/>
  <cols>
    <col min="1" max="1" width="12.0625" bestFit="1" customWidth="1"/>
    <col min="2" max="2" width="15.8125" bestFit="1" customWidth="1"/>
    <col min="3" max="3" width="11.625" bestFit="1" customWidth="1"/>
    <col min="4" max="4" width="12.1875" bestFit="1" customWidth="1"/>
    <col min="5" max="5" width="14.1875" bestFit="1" customWidth="1"/>
    <col min="6" max="6" width="14.75" bestFit="1" customWidth="1"/>
    <col min="7" max="7" width="12.625" bestFit="1" customWidth="1"/>
    <col min="8" max="8" width="14" bestFit="1" customWidth="1"/>
    <col min="9" max="11" width="14.625" bestFit="1" customWidth="1"/>
    <col min="12" max="13" width="20.4375" bestFit="1" customWidth="1"/>
    <col min="14" max="14" width="8.4375" customWidth="1"/>
    <col min="15" max="15" width="7.3125" customWidth="1"/>
    <col min="16" max="16" width="9.375" bestFit="1" customWidth="1"/>
    <col min="17" max="17" width="10.4375" bestFit="1" customWidth="1"/>
    <col min="18" max="18" width="14.3125" customWidth="1"/>
    <col min="19" max="19" width="6.6875" customWidth="1"/>
    <col min="20" max="20" width="8.9375" bestFit="1" customWidth="1"/>
    <col min="21" max="21" width="9.9375" bestFit="1" customWidth="1"/>
    <col min="22" max="22" width="14.1875" bestFit="1" customWidth="1"/>
    <col min="23" max="23" width="6.6875" bestFit="1" customWidth="1"/>
    <col min="25" max="25" width="9.9375" bestFit="1" customWidth="1"/>
    <col min="26" max="26" width="15.3125" bestFit="1" customWidth="1"/>
    <col min="27" max="27" width="6.6875" bestFit="1" customWidth="1"/>
    <col min="28" max="28" width="8.9375" bestFit="1" customWidth="1"/>
    <col min="29" max="29" width="9.9375" bestFit="1" customWidth="1"/>
    <col min="30" max="30" width="15.3125" bestFit="1" customWidth="1"/>
    <col min="33" max="33" width="9.9375" bestFit="1" customWidth="1"/>
    <col min="34" max="34" width="11.0625" bestFit="1" customWidth="1"/>
    <col min="35" max="35" width="11.5625" bestFit="1" customWidth="1"/>
  </cols>
  <sheetData>
    <row r="1" spans="1:11">
      <c r="A1" s="1" t="s">
        <v>36</v>
      </c>
    </row>
    <row r="3" spans="1:11">
      <c r="A3" s="3" t="s">
        <v>28</v>
      </c>
      <c r="F3" s="1" t="s">
        <v>29</v>
      </c>
      <c r="K3" s="1"/>
    </row>
    <row r="18" spans="1:11">
      <c r="A18" s="1" t="s">
        <v>33</v>
      </c>
    </row>
    <row r="19" spans="1:11">
      <c r="A19" s="3" t="s">
        <v>28</v>
      </c>
      <c r="F19" s="1" t="s">
        <v>29</v>
      </c>
      <c r="K19" s="1" t="s">
        <v>32</v>
      </c>
    </row>
    <row r="33" spans="1:6">
      <c r="A33" s="1" t="s">
        <v>34</v>
      </c>
    </row>
    <row r="34" spans="1:6">
      <c r="A34" s="3" t="s">
        <v>28</v>
      </c>
      <c r="F34" s="1" t="s">
        <v>29</v>
      </c>
    </row>
    <row r="48" spans="1:6">
      <c r="A48" s="1" t="s">
        <v>35</v>
      </c>
    </row>
    <row r="49" spans="1:6">
      <c r="A49" s="3" t="s">
        <v>28</v>
      </c>
      <c r="F49" s="1" t="s">
        <v>29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13B5-3480-4AE9-A747-91A62C6AD1AA}">
  <dimension ref="A1:AI43"/>
  <sheetViews>
    <sheetView zoomScale="85" zoomScaleNormal="85" workbookViewId="0"/>
  </sheetViews>
  <sheetFormatPr defaultRowHeight="17.649999999999999"/>
  <cols>
    <col min="1" max="1" width="12.0625" bestFit="1" customWidth="1"/>
    <col min="2" max="2" width="15.8125" customWidth="1"/>
    <col min="3" max="3" width="9.0625" bestFit="1" customWidth="1"/>
    <col min="4" max="4" width="12.3125" bestFit="1" customWidth="1"/>
    <col min="5" max="5" width="18.9375" bestFit="1" customWidth="1"/>
    <col min="6" max="6" width="14.8125" bestFit="1" customWidth="1"/>
    <col min="7" max="7" width="14.3125" bestFit="1" customWidth="1"/>
    <col min="8" max="8" width="18.9375" bestFit="1" customWidth="1"/>
    <col min="9" max="10" width="14.4375" bestFit="1" customWidth="1"/>
    <col min="11" max="11" width="18.9375" bestFit="1" customWidth="1"/>
    <col min="12" max="13" width="15.3125" bestFit="1" customWidth="1"/>
    <col min="14" max="14" width="8.4375" customWidth="1"/>
    <col min="15" max="15" width="11.9375" bestFit="1" customWidth="1"/>
    <col min="16" max="16" width="15.1875" bestFit="1" customWidth="1"/>
    <col min="17" max="17" width="18.9375" bestFit="1" customWidth="1"/>
    <col min="18" max="18" width="14.3125" customWidth="1"/>
    <col min="19" max="19" width="7.8125" bestFit="1" customWidth="1"/>
    <col min="20" max="20" width="9.9375" bestFit="1" customWidth="1"/>
    <col min="21" max="21" width="13.3125" bestFit="1" customWidth="1"/>
    <col min="22" max="22" width="14.1875" customWidth="1"/>
    <col min="23" max="23" width="6.8125" bestFit="1" customWidth="1"/>
    <col min="24" max="24" width="7.8125" bestFit="1" customWidth="1"/>
    <col min="25" max="25" width="13.3125" bestFit="1" customWidth="1"/>
    <col min="26" max="26" width="15.3125" customWidth="1"/>
    <col min="27" max="27" width="7.8125" bestFit="1" customWidth="1"/>
    <col min="28" max="28" width="9.9375" bestFit="1" customWidth="1"/>
    <col min="29" max="29" width="13.3125" bestFit="1" customWidth="1"/>
    <col min="30" max="30" width="15.1875" customWidth="1"/>
    <col min="31" max="31" width="6.8125" bestFit="1" customWidth="1"/>
    <col min="32" max="32" width="7.8125" bestFit="1" customWidth="1"/>
    <col min="33" max="33" width="13.3125" bestFit="1" customWidth="1"/>
    <col min="34" max="34" width="10.9375" bestFit="1" customWidth="1"/>
    <col min="35" max="35" width="12.0625" bestFit="1" customWidth="1"/>
  </cols>
  <sheetData>
    <row r="1" spans="1:33">
      <c r="A1" s="1" t="s">
        <v>21</v>
      </c>
      <c r="N1" t="s">
        <v>23</v>
      </c>
    </row>
    <row r="2" spans="1:33">
      <c r="H2" t="s">
        <v>0</v>
      </c>
      <c r="I2" t="s">
        <v>0</v>
      </c>
      <c r="J2" t="s">
        <v>10</v>
      </c>
      <c r="K2" t="s">
        <v>12</v>
      </c>
      <c r="L2" t="s">
        <v>2</v>
      </c>
      <c r="M2" t="s">
        <v>4</v>
      </c>
      <c r="N2" t="s">
        <v>0</v>
      </c>
      <c r="R2" t="s">
        <v>10</v>
      </c>
      <c r="V2" t="s">
        <v>12</v>
      </c>
      <c r="Z2" t="s">
        <v>2</v>
      </c>
      <c r="AD2" t="s">
        <v>4</v>
      </c>
    </row>
    <row r="3" spans="1:33">
      <c r="A3" t="s">
        <v>5</v>
      </c>
      <c r="B3" t="s">
        <v>6</v>
      </c>
      <c r="C3" t="s">
        <v>14</v>
      </c>
      <c r="D3" t="s">
        <v>7</v>
      </c>
      <c r="E3" t="s">
        <v>3</v>
      </c>
      <c r="F3" t="s">
        <v>8</v>
      </c>
      <c r="G3" t="s">
        <v>9</v>
      </c>
      <c r="H3" t="s">
        <v>1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  <c r="N3" t="s">
        <v>15</v>
      </c>
      <c r="O3" t="s">
        <v>16</v>
      </c>
      <c r="P3" t="s">
        <v>17</v>
      </c>
      <c r="Q3" t="s">
        <v>19</v>
      </c>
      <c r="R3" t="s">
        <v>18</v>
      </c>
      <c r="S3" t="s">
        <v>16</v>
      </c>
      <c r="T3" t="s">
        <v>17</v>
      </c>
      <c r="U3" t="s">
        <v>19</v>
      </c>
      <c r="V3" t="s">
        <v>18</v>
      </c>
      <c r="W3" t="s">
        <v>16</v>
      </c>
      <c r="X3" t="s">
        <v>17</v>
      </c>
      <c r="Y3" t="s">
        <v>19</v>
      </c>
      <c r="Z3" t="s">
        <v>18</v>
      </c>
      <c r="AA3" t="s">
        <v>16</v>
      </c>
      <c r="AB3" t="s">
        <v>17</v>
      </c>
      <c r="AC3" t="s">
        <v>19</v>
      </c>
      <c r="AD3" t="s">
        <v>18</v>
      </c>
      <c r="AE3" t="s">
        <v>16</v>
      </c>
      <c r="AF3" t="s">
        <v>17</v>
      </c>
      <c r="AG3" t="s">
        <v>19</v>
      </c>
    </row>
    <row r="4" spans="1:33">
      <c r="A4">
        <v>100</v>
      </c>
      <c r="B4">
        <v>1000</v>
      </c>
      <c r="C4" t="s">
        <v>13</v>
      </c>
      <c r="D4">
        <v>0.1</v>
      </c>
      <c r="E4" cm="1">
        <f t="array" ref="E4">10^{-12}</f>
        <v>9.9999999999999998E-13</v>
      </c>
      <c r="F4">
        <v>1</v>
      </c>
      <c r="G4" cm="1">
        <f t="array" ref="G4">10^{-12}</f>
        <v>9.9999999999999998E-13</v>
      </c>
      <c r="H4">
        <v>34538777</v>
      </c>
      <c r="I4">
        <f>A4+H4</f>
        <v>34538877</v>
      </c>
      <c r="J4">
        <f>$A4+$B4*1074</f>
        <v>1074100</v>
      </c>
      <c r="K4">
        <f>$A4+$B4*40</f>
        <v>40100</v>
      </c>
      <c r="L4">
        <f>$A4+$B4*567.000000003</f>
        <v>567100.00000300002</v>
      </c>
      <c r="M4">
        <f>$A4+$B4*13.7837817006</f>
        <v>13883.7817006</v>
      </c>
      <c r="N4">
        <v>21</v>
      </c>
      <c r="O4">
        <v>549729</v>
      </c>
      <c r="P4">
        <v>8709701</v>
      </c>
      <c r="Q4">
        <f>SUM(N4:P4)/10^6</f>
        <v>9.2594510000000003</v>
      </c>
      <c r="R4">
        <v>21</v>
      </c>
      <c r="S4">
        <v>6013</v>
      </c>
      <c r="T4">
        <v>187835</v>
      </c>
      <c r="U4">
        <f>SUM(R4:T4)/10^6</f>
        <v>0.19386900000000001</v>
      </c>
      <c r="V4">
        <v>32</v>
      </c>
      <c r="W4">
        <v>488</v>
      </c>
      <c r="X4">
        <v>5003</v>
      </c>
      <c r="Y4">
        <f>SUM(V4:X4)/10^6</f>
        <v>5.5230000000000001E-3</v>
      </c>
      <c r="Z4">
        <v>26</v>
      </c>
      <c r="AA4">
        <v>4627</v>
      </c>
      <c r="AB4">
        <v>94209</v>
      </c>
      <c r="AC4">
        <f>SUM(Z4:AB4)/10^6</f>
        <v>9.8862000000000005E-2</v>
      </c>
      <c r="AD4">
        <v>27</v>
      </c>
      <c r="AE4">
        <v>869</v>
      </c>
      <c r="AF4">
        <v>1473</v>
      </c>
      <c r="AG4">
        <f>SUM(AD4:AF4)/10^6</f>
        <v>2.369E-3</v>
      </c>
    </row>
    <row r="5" spans="1:33">
      <c r="A5">
        <v>1000</v>
      </c>
      <c r="B5">
        <v>1000</v>
      </c>
      <c r="C5" t="s">
        <v>13</v>
      </c>
      <c r="D5">
        <v>0.1</v>
      </c>
      <c r="E5" cm="1">
        <f t="array" ref="E5">10^{-12}</f>
        <v>9.9999999999999998E-13</v>
      </c>
      <c r="F5">
        <v>1</v>
      </c>
      <c r="G5" cm="1">
        <f t="array" ref="G5">10^{-12}</f>
        <v>9.9999999999999998E-13</v>
      </c>
      <c r="H5">
        <v>34538777</v>
      </c>
      <c r="I5">
        <f>A5+H5</f>
        <v>34539777</v>
      </c>
      <c r="J5">
        <f t="shared" ref="J5:J8" si="0">$A5+$B5*1074</f>
        <v>1075000</v>
      </c>
      <c r="K5">
        <f t="shared" ref="K5:K8" si="1">$A5+$B5*40</f>
        <v>41000</v>
      </c>
      <c r="L5">
        <f t="shared" ref="L5:L8" si="2">$A5+$B5*567.000000003</f>
        <v>568000.00000300002</v>
      </c>
      <c r="M5">
        <f t="shared" ref="M5:M8" si="3">$A5+$B5*13.7837817006</f>
        <v>14783.7817006</v>
      </c>
      <c r="N5">
        <v>102</v>
      </c>
      <c r="O5">
        <v>549468</v>
      </c>
      <c r="P5">
        <v>8620056</v>
      </c>
      <c r="Q5">
        <f t="shared" ref="Q5:Q8" si="4">SUM(N5:P5)/10^6</f>
        <v>9.1696259999999992</v>
      </c>
      <c r="R5">
        <v>103</v>
      </c>
      <c r="S5">
        <v>5958</v>
      </c>
      <c r="T5">
        <v>188374</v>
      </c>
      <c r="U5">
        <f t="shared" ref="U5:U8" si="5">SUM(R5:T5)/10^6</f>
        <v>0.194435</v>
      </c>
      <c r="V5">
        <v>107</v>
      </c>
      <c r="W5">
        <v>485</v>
      </c>
      <c r="X5">
        <v>5129</v>
      </c>
      <c r="Y5">
        <f t="shared" ref="Y5:Y8" si="6">SUM(V5:X5)/10^6</f>
        <v>5.7210000000000004E-3</v>
      </c>
      <c r="Z5">
        <v>107</v>
      </c>
      <c r="AA5">
        <v>4591</v>
      </c>
      <c r="AB5">
        <v>94349</v>
      </c>
      <c r="AC5">
        <f t="shared" ref="AC5:AC8" si="7">SUM(Z5:AB5)/10^6</f>
        <v>9.9046999999999996E-2</v>
      </c>
      <c r="AD5">
        <v>109</v>
      </c>
      <c r="AE5">
        <v>868</v>
      </c>
      <c r="AF5">
        <v>1542</v>
      </c>
      <c r="AG5">
        <f t="shared" ref="AG5:AG8" si="8">SUM(AD5:AF5)/10^6</f>
        <v>2.519E-3</v>
      </c>
    </row>
    <row r="6" spans="1:33">
      <c r="A6">
        <v>10000</v>
      </c>
      <c r="B6">
        <v>1000</v>
      </c>
      <c r="C6" t="s">
        <v>13</v>
      </c>
      <c r="D6">
        <v>0.1</v>
      </c>
      <c r="E6" cm="1">
        <f t="array" ref="E6">10^{-12}</f>
        <v>9.9999999999999998E-13</v>
      </c>
      <c r="F6">
        <v>1</v>
      </c>
      <c r="G6" cm="1">
        <f t="array" ref="G6">10^{-12}</f>
        <v>9.9999999999999998E-13</v>
      </c>
      <c r="H6">
        <v>34538777</v>
      </c>
      <c r="I6">
        <f>A6+H6</f>
        <v>34548777</v>
      </c>
      <c r="J6">
        <f t="shared" si="0"/>
        <v>1084000</v>
      </c>
      <c r="K6">
        <f t="shared" si="1"/>
        <v>50000</v>
      </c>
      <c r="L6">
        <f t="shared" si="2"/>
        <v>577000.00000300002</v>
      </c>
      <c r="M6">
        <f t="shared" si="3"/>
        <v>23783.7817006</v>
      </c>
      <c r="N6">
        <v>913</v>
      </c>
      <c r="O6">
        <v>549495</v>
      </c>
      <c r="P6">
        <v>8664810</v>
      </c>
      <c r="Q6">
        <f t="shared" si="4"/>
        <v>9.2152180000000001</v>
      </c>
      <c r="R6">
        <v>934</v>
      </c>
      <c r="S6">
        <v>5986</v>
      </c>
      <c r="T6">
        <v>192683</v>
      </c>
      <c r="U6">
        <f t="shared" si="5"/>
        <v>0.199603</v>
      </c>
      <c r="V6">
        <v>926</v>
      </c>
      <c r="W6">
        <v>506</v>
      </c>
      <c r="X6">
        <v>6240</v>
      </c>
      <c r="Y6">
        <f t="shared" si="6"/>
        <v>7.672E-3</v>
      </c>
      <c r="Z6">
        <v>906</v>
      </c>
      <c r="AA6">
        <v>4587</v>
      </c>
      <c r="AB6">
        <v>95905</v>
      </c>
      <c r="AC6">
        <f t="shared" si="7"/>
        <v>0.101398</v>
      </c>
      <c r="AD6">
        <v>931</v>
      </c>
      <c r="AE6">
        <v>872</v>
      </c>
      <c r="AF6">
        <v>2725</v>
      </c>
      <c r="AG6">
        <f t="shared" si="8"/>
        <v>4.5279999999999999E-3</v>
      </c>
    </row>
    <row r="7" spans="1:33">
      <c r="A7">
        <v>100000</v>
      </c>
      <c r="B7">
        <v>1000</v>
      </c>
      <c r="C7" t="s">
        <v>13</v>
      </c>
      <c r="D7">
        <v>0.1</v>
      </c>
      <c r="E7" cm="1">
        <f t="array" ref="E7">10^{-12}</f>
        <v>9.9999999999999998E-13</v>
      </c>
      <c r="F7">
        <v>1</v>
      </c>
      <c r="G7" cm="1">
        <f t="array" ref="G7">10^{-12}</f>
        <v>9.9999999999999998E-13</v>
      </c>
      <c r="H7">
        <v>34538777</v>
      </c>
      <c r="I7">
        <f>A7+H7</f>
        <v>34638777</v>
      </c>
      <c r="J7">
        <f t="shared" si="0"/>
        <v>1174000</v>
      </c>
      <c r="K7">
        <f t="shared" si="1"/>
        <v>140000</v>
      </c>
      <c r="L7">
        <f t="shared" si="2"/>
        <v>667000.00000300002</v>
      </c>
      <c r="M7">
        <f t="shared" si="3"/>
        <v>113783.7817006</v>
      </c>
      <c r="N7">
        <v>9284</v>
      </c>
      <c r="O7">
        <v>549825</v>
      </c>
      <c r="P7">
        <v>8710753</v>
      </c>
      <c r="Q7">
        <f t="shared" si="4"/>
        <v>9.2698619999999998</v>
      </c>
      <c r="R7">
        <v>9150</v>
      </c>
      <c r="S7">
        <v>6013</v>
      </c>
      <c r="T7">
        <v>207998</v>
      </c>
      <c r="U7">
        <f t="shared" si="5"/>
        <v>0.223161</v>
      </c>
      <c r="V7">
        <v>9147</v>
      </c>
      <c r="W7">
        <v>527</v>
      </c>
      <c r="X7">
        <v>20300</v>
      </c>
      <c r="Y7">
        <f t="shared" si="6"/>
        <v>2.9974000000000001E-2</v>
      </c>
      <c r="Z7">
        <v>9220</v>
      </c>
      <c r="AA7">
        <v>4653</v>
      </c>
      <c r="AB7">
        <v>110742</v>
      </c>
      <c r="AC7">
        <f t="shared" si="7"/>
        <v>0.124615</v>
      </c>
      <c r="AD7">
        <v>8959</v>
      </c>
      <c r="AE7">
        <v>909</v>
      </c>
      <c r="AF7">
        <v>15352</v>
      </c>
      <c r="AG7">
        <f t="shared" si="8"/>
        <v>2.5219999999999999E-2</v>
      </c>
    </row>
    <row r="8" spans="1:33">
      <c r="A8">
        <v>1000000</v>
      </c>
      <c r="B8">
        <v>1000</v>
      </c>
      <c r="C8" t="s">
        <v>13</v>
      </c>
      <c r="D8">
        <v>0.1</v>
      </c>
      <c r="E8" cm="1">
        <f t="array" ref="E8">10^{-12}</f>
        <v>9.9999999999999998E-13</v>
      </c>
      <c r="F8">
        <v>1</v>
      </c>
      <c r="G8" cm="1">
        <f t="array" ref="G8">10^{-12}</f>
        <v>9.9999999999999998E-13</v>
      </c>
      <c r="H8">
        <v>34538777</v>
      </c>
      <c r="I8">
        <f>A8+H8</f>
        <v>35538777</v>
      </c>
      <c r="J8">
        <f t="shared" si="0"/>
        <v>2074000</v>
      </c>
      <c r="K8">
        <f t="shared" si="1"/>
        <v>1040000</v>
      </c>
      <c r="L8">
        <f t="shared" si="2"/>
        <v>1567000.000003</v>
      </c>
      <c r="M8">
        <f t="shared" si="3"/>
        <v>1013783.7817006001</v>
      </c>
      <c r="N8">
        <v>91333</v>
      </c>
      <c r="O8">
        <v>550377</v>
      </c>
      <c r="P8">
        <v>8938466</v>
      </c>
      <c r="Q8">
        <f t="shared" si="4"/>
        <v>9.5801759999999998</v>
      </c>
      <c r="R8">
        <v>91712</v>
      </c>
      <c r="S8">
        <v>6562</v>
      </c>
      <c r="T8">
        <v>368920</v>
      </c>
      <c r="U8">
        <f t="shared" si="5"/>
        <v>0.467194</v>
      </c>
      <c r="V8">
        <v>90512</v>
      </c>
      <c r="W8">
        <v>1018</v>
      </c>
      <c r="X8">
        <v>173158</v>
      </c>
      <c r="Y8">
        <f t="shared" si="6"/>
        <v>0.26468799999999998</v>
      </c>
      <c r="Z8">
        <v>90916</v>
      </c>
      <c r="AA8">
        <v>5169</v>
      </c>
      <c r="AB8">
        <v>278079</v>
      </c>
      <c r="AC8">
        <f t="shared" si="7"/>
        <v>0.374164</v>
      </c>
      <c r="AD8">
        <v>89965</v>
      </c>
      <c r="AE8">
        <v>1396</v>
      </c>
      <c r="AF8">
        <v>168579</v>
      </c>
      <c r="AG8">
        <f t="shared" si="8"/>
        <v>0.25994</v>
      </c>
    </row>
    <row r="10" spans="1:33">
      <c r="A10" s="1" t="s">
        <v>22</v>
      </c>
    </row>
    <row r="11" spans="1:33">
      <c r="H11" t="s">
        <v>0</v>
      </c>
      <c r="I11" t="s">
        <v>0</v>
      </c>
      <c r="J11" t="s">
        <v>10</v>
      </c>
      <c r="K11" t="s">
        <v>12</v>
      </c>
      <c r="L11" t="s">
        <v>2</v>
      </c>
      <c r="M11" t="s">
        <v>4</v>
      </c>
    </row>
    <row r="12" spans="1:33">
      <c r="A12" t="s">
        <v>5</v>
      </c>
      <c r="B12" t="s">
        <v>6</v>
      </c>
      <c r="C12" t="s">
        <v>14</v>
      </c>
      <c r="D12" t="s">
        <v>7</v>
      </c>
      <c r="E12" t="s">
        <v>3</v>
      </c>
      <c r="F12" t="s">
        <v>8</v>
      </c>
      <c r="G12" t="s">
        <v>9</v>
      </c>
      <c r="H12" t="s">
        <v>1</v>
      </c>
      <c r="I12" t="s">
        <v>11</v>
      </c>
      <c r="J12" t="s">
        <v>11</v>
      </c>
      <c r="K12" t="s">
        <v>11</v>
      </c>
      <c r="L12" t="s">
        <v>11</v>
      </c>
      <c r="M12" t="s">
        <v>11</v>
      </c>
    </row>
    <row r="13" spans="1:33">
      <c r="A13">
        <v>1000</v>
      </c>
      <c r="B13">
        <v>100</v>
      </c>
      <c r="C13" t="s">
        <v>13</v>
      </c>
      <c r="D13">
        <v>0.1</v>
      </c>
      <c r="E13" cm="1">
        <f t="array" ref="E13">10^{-12}</f>
        <v>9.9999999999999998E-13</v>
      </c>
      <c r="F13">
        <v>1</v>
      </c>
      <c r="G13" cm="1">
        <f t="array" ref="G13">10^{-12}</f>
        <v>9.9999999999999998E-13</v>
      </c>
      <c r="H13">
        <v>3453878</v>
      </c>
      <c r="I13">
        <f>A13+H13</f>
        <v>3454878</v>
      </c>
      <c r="J13">
        <f>$A13+$B13*1074</f>
        <v>108400</v>
      </c>
      <c r="K13">
        <f>$A13+$B13*40</f>
        <v>5000</v>
      </c>
      <c r="L13">
        <f t="shared" ref="L13:L14" si="9">$A13+$B13*567.000000003</f>
        <v>57700.000000299995</v>
      </c>
      <c r="M13">
        <f>$A13+$B13*13.7837817006</f>
        <v>2378.3781700600002</v>
      </c>
      <c r="N13">
        <v>103</v>
      </c>
      <c r="O13">
        <v>72706</v>
      </c>
      <c r="P13">
        <v>670379</v>
      </c>
      <c r="Q13">
        <f>SUM(N13:P13)/10^6</f>
        <v>0.74318799999999996</v>
      </c>
      <c r="R13">
        <v>109</v>
      </c>
      <c r="S13">
        <v>646</v>
      </c>
      <c r="T13">
        <v>14635</v>
      </c>
      <c r="U13">
        <f>SUM(R13:T13)/10^6</f>
        <v>1.5389999999999999E-2</v>
      </c>
      <c r="V13">
        <v>108</v>
      </c>
      <c r="W13">
        <v>93</v>
      </c>
      <c r="X13">
        <v>491</v>
      </c>
      <c r="Y13">
        <f>SUM(V13:X13)/10^6</f>
        <v>6.9200000000000002E-4</v>
      </c>
      <c r="Z13">
        <v>108</v>
      </c>
      <c r="AA13">
        <v>515</v>
      </c>
      <c r="AB13">
        <v>7168</v>
      </c>
      <c r="AC13">
        <f>SUM(Z13:AB13)/10^6</f>
        <v>7.7910000000000002E-3</v>
      </c>
      <c r="AD13">
        <v>110</v>
      </c>
      <c r="AE13">
        <v>121</v>
      </c>
      <c r="AF13">
        <v>208</v>
      </c>
      <c r="AG13">
        <f>SUM(AD13:AF13)/10^6</f>
        <v>4.3899999999999999E-4</v>
      </c>
    </row>
    <row r="14" spans="1:33">
      <c r="A14">
        <v>1000</v>
      </c>
      <c r="B14">
        <v>1000</v>
      </c>
      <c r="C14" t="s">
        <v>13</v>
      </c>
      <c r="D14">
        <v>0.1</v>
      </c>
      <c r="E14" cm="1">
        <f t="array" ref="E14">10^{-12}</f>
        <v>9.9999999999999998E-13</v>
      </c>
      <c r="F14">
        <v>1</v>
      </c>
      <c r="G14" cm="1">
        <f t="array" ref="G14">10^{-12}</f>
        <v>9.9999999999999998E-13</v>
      </c>
      <c r="H14">
        <v>34538777</v>
      </c>
      <c r="I14">
        <f>A14+H14</f>
        <v>34539777</v>
      </c>
      <c r="J14">
        <f t="shared" ref="J14" si="10">$A14+$B14*1074</f>
        <v>1075000</v>
      </c>
      <c r="K14">
        <f>$A14+$B14*40</f>
        <v>41000</v>
      </c>
      <c r="L14">
        <f t="shared" si="9"/>
        <v>568000.00000300002</v>
      </c>
      <c r="M14">
        <f>$A14+$B14*13.7837817006</f>
        <v>14783.7817006</v>
      </c>
      <c r="N14">
        <v>104</v>
      </c>
      <c r="O14">
        <v>549989</v>
      </c>
      <c r="P14">
        <v>8627252</v>
      </c>
      <c r="Q14">
        <f>SUM(N14:P14)/10^6</f>
        <v>9.1773450000000008</v>
      </c>
      <c r="R14">
        <v>109</v>
      </c>
      <c r="S14">
        <v>6010</v>
      </c>
      <c r="T14">
        <v>188341</v>
      </c>
      <c r="U14">
        <f>SUM(R14:T14)/10^6</f>
        <v>0.19445999999999999</v>
      </c>
      <c r="V14">
        <v>106</v>
      </c>
      <c r="W14">
        <v>493</v>
      </c>
      <c r="X14">
        <v>5129</v>
      </c>
      <c r="Y14">
        <f>SUM(V14:X14)/10^6</f>
        <v>5.7279999999999996E-3</v>
      </c>
      <c r="Z14">
        <v>108</v>
      </c>
      <c r="AA14">
        <v>4559</v>
      </c>
      <c r="AB14">
        <v>94252</v>
      </c>
      <c r="AC14">
        <f t="shared" ref="AC14" si="11">SUM(Z14:AB14)/10^6</f>
        <v>9.8919000000000007E-2</v>
      </c>
      <c r="AD14">
        <v>108</v>
      </c>
      <c r="AE14">
        <v>853</v>
      </c>
      <c r="AF14">
        <v>1549</v>
      </c>
      <c r="AG14">
        <f t="shared" ref="AG14" si="12">SUM(AD14:AF14)/10^6</f>
        <v>2.5100000000000001E-3</v>
      </c>
    </row>
    <row r="15" spans="1:33">
      <c r="A15">
        <v>1000</v>
      </c>
      <c r="B15">
        <v>10000</v>
      </c>
      <c r="C15">
        <f t="shared" ref="C15:C17" si="13">A15</f>
        <v>1000</v>
      </c>
      <c r="D15">
        <v>0.1</v>
      </c>
      <c r="E15" cm="1">
        <f t="array" ref="E15">10^{-12}</f>
        <v>9.9999999999999998E-13</v>
      </c>
      <c r="F15">
        <v>1</v>
      </c>
      <c r="G15" cm="1">
        <f t="array" ref="G15">10^{-12}</f>
        <v>9.9999999999999998E-13</v>
      </c>
      <c r="H15">
        <v>34538777</v>
      </c>
      <c r="I15">
        <f>A15+H15</f>
        <v>34539777</v>
      </c>
      <c r="J15">
        <f>$A15+$C15*1074</f>
        <v>1075000</v>
      </c>
      <c r="K15">
        <f>$A15+$C15*40</f>
        <v>41000</v>
      </c>
      <c r="L15">
        <f>$A15+$C15*567.000000003</f>
        <v>568000.00000300002</v>
      </c>
      <c r="M15">
        <f>$A15+$C15*13.7837817006</f>
        <v>14783.7817006</v>
      </c>
      <c r="N15">
        <v>123</v>
      </c>
      <c r="O15">
        <v>550075</v>
      </c>
      <c r="P15">
        <v>8418084</v>
      </c>
      <c r="Q15">
        <f>SUM(N15:P15)/10^6</f>
        <v>8.9682820000000003</v>
      </c>
      <c r="R15">
        <v>128</v>
      </c>
      <c r="S15">
        <v>6007</v>
      </c>
      <c r="T15">
        <v>188356</v>
      </c>
      <c r="U15">
        <f>SUM(R15:T15)/10^6</f>
        <v>0.194491</v>
      </c>
      <c r="V15">
        <v>128</v>
      </c>
      <c r="W15">
        <v>499</v>
      </c>
      <c r="X15">
        <v>5118</v>
      </c>
      <c r="Y15">
        <f>SUM(V15:X15)/10^6</f>
        <v>5.7450000000000001E-3</v>
      </c>
      <c r="Z15">
        <v>132</v>
      </c>
      <c r="AA15">
        <v>4609</v>
      </c>
      <c r="AB15">
        <v>94414</v>
      </c>
      <c r="AC15">
        <f>SUM(Z15:AB15)/10^6</f>
        <v>9.9154999999999993E-2</v>
      </c>
      <c r="AD15">
        <v>127</v>
      </c>
      <c r="AE15">
        <v>836</v>
      </c>
      <c r="AF15">
        <v>1538</v>
      </c>
      <c r="AG15">
        <f>SUM(AD15:AF15)/10^6</f>
        <v>2.5010000000000002E-3</v>
      </c>
    </row>
    <row r="16" spans="1:33">
      <c r="A16">
        <v>1000</v>
      </c>
      <c r="B16">
        <v>100000</v>
      </c>
      <c r="C16">
        <f t="shared" si="13"/>
        <v>1000</v>
      </c>
      <c r="D16">
        <v>0.1</v>
      </c>
      <c r="E16" cm="1">
        <f t="array" ref="E16">10^{-12}</f>
        <v>9.9999999999999998E-13</v>
      </c>
      <c r="F16">
        <v>1</v>
      </c>
      <c r="G16" cm="1">
        <f t="array" ref="G16">10^{-12}</f>
        <v>9.9999999999999998E-13</v>
      </c>
      <c r="H16">
        <v>34538777</v>
      </c>
      <c r="I16">
        <f>A16+H16</f>
        <v>34539777</v>
      </c>
      <c r="J16">
        <f>$A16+$C16*1074</f>
        <v>1075000</v>
      </c>
      <c r="K16">
        <f t="shared" ref="K16:K17" si="14">$A16+$C16*40</f>
        <v>41000</v>
      </c>
      <c r="L16">
        <f t="shared" ref="L16:L17" si="15">$A16+$C16*567.000000003</f>
        <v>568000.00000300002</v>
      </c>
      <c r="M16">
        <f t="shared" ref="M16:M17" si="16">$A16+$C16*13.7837817006</f>
        <v>14783.7817006</v>
      </c>
      <c r="N16">
        <v>123</v>
      </c>
      <c r="O16">
        <v>550075</v>
      </c>
      <c r="P16">
        <v>8418084</v>
      </c>
      <c r="Q16">
        <f t="shared" ref="Q16:Q17" si="17">SUM(N16:P16)/10^6</f>
        <v>8.9682820000000003</v>
      </c>
      <c r="R16">
        <v>128</v>
      </c>
      <c r="S16">
        <v>6007</v>
      </c>
      <c r="T16">
        <v>188356</v>
      </c>
      <c r="U16">
        <f t="shared" ref="U16:U17" si="18">SUM(R16:T16)/10^6</f>
        <v>0.194491</v>
      </c>
      <c r="V16">
        <v>128</v>
      </c>
      <c r="W16">
        <v>499</v>
      </c>
      <c r="X16">
        <v>5118</v>
      </c>
      <c r="Y16">
        <f t="shared" ref="Y16:Y17" si="19">SUM(V16:X16)/10^6</f>
        <v>5.7450000000000001E-3</v>
      </c>
      <c r="Z16">
        <v>132</v>
      </c>
      <c r="AA16">
        <v>4609</v>
      </c>
      <c r="AB16">
        <v>94414</v>
      </c>
      <c r="AC16">
        <f t="shared" ref="AC16:AC17" si="20">SUM(Z16:AB16)/10^6</f>
        <v>9.9154999999999993E-2</v>
      </c>
      <c r="AD16">
        <v>127</v>
      </c>
      <c r="AE16">
        <v>836</v>
      </c>
      <c r="AF16">
        <v>1538</v>
      </c>
      <c r="AG16">
        <f t="shared" ref="AG16:AG17" si="21">SUM(AD16:AF16)/10^6</f>
        <v>2.5010000000000002E-3</v>
      </c>
    </row>
    <row r="17" spans="1:35">
      <c r="A17">
        <v>1000</v>
      </c>
      <c r="B17">
        <v>1000000</v>
      </c>
      <c r="C17">
        <f t="shared" si="13"/>
        <v>1000</v>
      </c>
      <c r="D17">
        <v>0.1</v>
      </c>
      <c r="E17" cm="1">
        <f t="array" ref="E17">10^{-12}</f>
        <v>9.9999999999999998E-13</v>
      </c>
      <c r="F17">
        <v>1</v>
      </c>
      <c r="G17" cm="1">
        <f t="array" ref="G17">10^{-12}</f>
        <v>9.9999999999999998E-13</v>
      </c>
      <c r="H17">
        <v>34538777</v>
      </c>
      <c r="I17">
        <f>A17+H17</f>
        <v>34539777</v>
      </c>
      <c r="J17">
        <f>$A17+$C17*1074</f>
        <v>1075000</v>
      </c>
      <c r="K17">
        <f t="shared" si="14"/>
        <v>41000</v>
      </c>
      <c r="L17">
        <f t="shared" si="15"/>
        <v>568000.00000300002</v>
      </c>
      <c r="M17">
        <f t="shared" si="16"/>
        <v>14783.7817006</v>
      </c>
      <c r="N17">
        <v>123</v>
      </c>
      <c r="O17">
        <v>550075</v>
      </c>
      <c r="P17">
        <v>8418084</v>
      </c>
      <c r="Q17">
        <f t="shared" si="17"/>
        <v>8.9682820000000003</v>
      </c>
      <c r="R17">
        <v>128</v>
      </c>
      <c r="S17">
        <v>6007</v>
      </c>
      <c r="T17">
        <v>188356</v>
      </c>
      <c r="U17">
        <f t="shared" si="18"/>
        <v>0.194491</v>
      </c>
      <c r="V17">
        <v>128</v>
      </c>
      <c r="W17">
        <v>499</v>
      </c>
      <c r="X17">
        <v>5118</v>
      </c>
      <c r="Y17">
        <f t="shared" si="19"/>
        <v>5.7450000000000001E-3</v>
      </c>
      <c r="Z17">
        <v>132</v>
      </c>
      <c r="AA17">
        <v>4609</v>
      </c>
      <c r="AB17">
        <v>94414</v>
      </c>
      <c r="AC17">
        <f t="shared" si="20"/>
        <v>9.9154999999999993E-2</v>
      </c>
      <c r="AD17">
        <v>127</v>
      </c>
      <c r="AE17">
        <v>836</v>
      </c>
      <c r="AF17">
        <v>1538</v>
      </c>
      <c r="AG17">
        <f t="shared" si="21"/>
        <v>2.5010000000000002E-3</v>
      </c>
    </row>
    <row r="19" spans="1:35">
      <c r="A19" s="1" t="s">
        <v>30</v>
      </c>
    </row>
    <row r="20" spans="1:35">
      <c r="H20" t="s">
        <v>0</v>
      </c>
      <c r="I20" t="s">
        <v>0</v>
      </c>
      <c r="J20" t="s">
        <v>10</v>
      </c>
      <c r="K20" t="s">
        <v>12</v>
      </c>
      <c r="L20" t="s">
        <v>2</v>
      </c>
      <c r="M20" t="s">
        <v>4</v>
      </c>
    </row>
    <row r="21" spans="1:35">
      <c r="A21" t="s">
        <v>5</v>
      </c>
      <c r="B21" t="s">
        <v>6</v>
      </c>
      <c r="C21" t="s">
        <v>14</v>
      </c>
      <c r="D21" t="s">
        <v>7</v>
      </c>
      <c r="E21" t="s">
        <v>3</v>
      </c>
      <c r="F21" t="s">
        <v>8</v>
      </c>
      <c r="G21" t="s">
        <v>9</v>
      </c>
      <c r="H21" t="s">
        <v>1</v>
      </c>
      <c r="I21" t="s">
        <v>11</v>
      </c>
      <c r="J21" t="s">
        <v>11</v>
      </c>
      <c r="K21" t="s">
        <v>11</v>
      </c>
      <c r="L21" t="s">
        <v>11</v>
      </c>
      <c r="M21" t="s">
        <v>11</v>
      </c>
    </row>
    <row r="22" spans="1:35">
      <c r="A22">
        <v>1000</v>
      </c>
      <c r="B22">
        <v>100</v>
      </c>
      <c r="C22" t="s">
        <v>13</v>
      </c>
      <c r="D22">
        <v>0.1</v>
      </c>
      <c r="E22" cm="1">
        <f t="array" ref="E22">10^{-12}</f>
        <v>9.9999999999999998E-13</v>
      </c>
      <c r="F22">
        <v>1</v>
      </c>
      <c r="G22" cm="1">
        <f t="array" ref="G22">10^{-12}</f>
        <v>9.9999999999999998E-13</v>
      </c>
      <c r="H22">
        <v>3453878</v>
      </c>
      <c r="I22">
        <f>A22+H22</f>
        <v>3454878</v>
      </c>
      <c r="J22">
        <f>$A22+$B22*1074</f>
        <v>108400</v>
      </c>
      <c r="K22">
        <f>$A22+$B22*40</f>
        <v>5000</v>
      </c>
      <c r="L22">
        <f t="shared" ref="L22" si="22">$A22+$B22*567.000000003</f>
        <v>57700.000000299995</v>
      </c>
      <c r="M22">
        <f>$A22+$B22*13.7837817006</f>
        <v>2378.3781700600002</v>
      </c>
      <c r="N22">
        <v>103</v>
      </c>
      <c r="O22">
        <v>72807</v>
      </c>
      <c r="P22">
        <v>669857</v>
      </c>
      <c r="Q22">
        <f t="shared" ref="Q22:Q23" si="23">SUM(N22:P22)/10^6</f>
        <v>0.74276699999999996</v>
      </c>
      <c r="R22">
        <v>114</v>
      </c>
      <c r="S22">
        <v>631</v>
      </c>
      <c r="T22">
        <v>14629</v>
      </c>
      <c r="U22">
        <f>SUM(R22:T22)/10^6</f>
        <v>1.5374000000000001E-2</v>
      </c>
      <c r="V22">
        <v>125</v>
      </c>
      <c r="W22">
        <v>68</v>
      </c>
      <c r="X22">
        <v>486</v>
      </c>
      <c r="Y22">
        <f>SUM(V22:X22)/10^6</f>
        <v>6.7900000000000002E-4</v>
      </c>
      <c r="Z22">
        <v>109</v>
      </c>
      <c r="AA22">
        <v>492</v>
      </c>
      <c r="AB22">
        <v>7165</v>
      </c>
      <c r="AC22">
        <f>SUM(Z22:AB22)/10^6</f>
        <v>7.7660000000000003E-3</v>
      </c>
      <c r="AD22">
        <v>111</v>
      </c>
      <c r="AE22">
        <v>129</v>
      </c>
      <c r="AF22">
        <v>215</v>
      </c>
      <c r="AG22">
        <f>SUM(AD22:AF22)/10^6</f>
        <v>4.55E-4</v>
      </c>
    </row>
    <row r="23" spans="1:35">
      <c r="A23">
        <v>1000</v>
      </c>
      <c r="B23">
        <v>1000</v>
      </c>
      <c r="C23">
        <f>A23/10</f>
        <v>100</v>
      </c>
      <c r="D23">
        <v>0.1</v>
      </c>
      <c r="E23" cm="1">
        <f t="array" ref="E23">10^{-12}</f>
        <v>9.9999999999999998E-13</v>
      </c>
      <c r="F23">
        <v>1</v>
      </c>
      <c r="G23" cm="1">
        <f t="array" ref="G23">10^{-12}</f>
        <v>9.9999999999999998E-13</v>
      </c>
      <c r="H23">
        <v>3453878</v>
      </c>
      <c r="I23">
        <f>A23+H23</f>
        <v>3454878</v>
      </c>
      <c r="J23">
        <f>$A23+$C23*1074</f>
        <v>108400</v>
      </c>
      <c r="K23">
        <f>$A23+$C23*40</f>
        <v>5000</v>
      </c>
      <c r="L23">
        <f>$A23+$C23*567.000000003</f>
        <v>57700.000000299995</v>
      </c>
      <c r="M23">
        <f>$A23+$C23*13.7837817006</f>
        <v>2378.3781700600002</v>
      </c>
      <c r="N23">
        <v>124</v>
      </c>
      <c r="O23">
        <v>72836</v>
      </c>
      <c r="P23">
        <v>652451</v>
      </c>
      <c r="Q23">
        <f t="shared" si="23"/>
        <v>0.72541100000000003</v>
      </c>
      <c r="R23">
        <v>111</v>
      </c>
      <c r="S23">
        <v>633</v>
      </c>
      <c r="T23">
        <v>14614</v>
      </c>
      <c r="U23">
        <f>SUM(R23:T23)/10^6</f>
        <v>1.5358E-2</v>
      </c>
      <c r="V23">
        <v>135</v>
      </c>
      <c r="W23">
        <v>71</v>
      </c>
      <c r="X23">
        <v>506</v>
      </c>
      <c r="Y23">
        <f>SUM(V23:X23)/10^6</f>
        <v>7.1199999999999996E-4</v>
      </c>
      <c r="Z23">
        <v>128</v>
      </c>
      <c r="AA23">
        <v>491</v>
      </c>
      <c r="AB23">
        <v>7191</v>
      </c>
      <c r="AC23">
        <f>SUM(Z23:AB23)/10^6</f>
        <v>7.8100000000000001E-3</v>
      </c>
      <c r="AD23">
        <v>142</v>
      </c>
      <c r="AE23">
        <v>115</v>
      </c>
      <c r="AF23">
        <v>210</v>
      </c>
      <c r="AG23">
        <f>SUM(AD23:AF23)/10^6</f>
        <v>4.6700000000000002E-4</v>
      </c>
    </row>
    <row r="24" spans="1:35">
      <c r="A24">
        <v>1000</v>
      </c>
      <c r="B24">
        <v>10000</v>
      </c>
      <c r="C24">
        <f>A24/10</f>
        <v>100</v>
      </c>
      <c r="D24">
        <v>0.1</v>
      </c>
      <c r="E24" cm="1">
        <f t="array" ref="E24">10^{-12}</f>
        <v>9.9999999999999998E-13</v>
      </c>
      <c r="F24">
        <v>1</v>
      </c>
      <c r="G24" cm="1">
        <f t="array" ref="G24">10^{-12}</f>
        <v>9.9999999999999998E-13</v>
      </c>
      <c r="H24">
        <v>3453878</v>
      </c>
      <c r="I24">
        <f>A24+H24</f>
        <v>3454878</v>
      </c>
      <c r="J24">
        <f>$A24+$C24*1074</f>
        <v>108400</v>
      </c>
      <c r="K24">
        <f>$A24+$C24*40</f>
        <v>5000</v>
      </c>
      <c r="L24">
        <f t="shared" ref="L24:L26" si="24">$A24+$C24*567.000000003</f>
        <v>57700.000000299995</v>
      </c>
      <c r="M24">
        <f t="shared" ref="M24:M25" si="25">$A24+$C24*13.7837817006</f>
        <v>2378.3781700600002</v>
      </c>
      <c r="N24">
        <v>124</v>
      </c>
      <c r="O24">
        <v>72836</v>
      </c>
      <c r="P24">
        <v>652451</v>
      </c>
      <c r="Q24">
        <f t="shared" ref="Q24:Q26" si="26">SUM(N24:P24)/10^6</f>
        <v>0.72541100000000003</v>
      </c>
      <c r="R24">
        <v>111</v>
      </c>
      <c r="S24">
        <v>633</v>
      </c>
      <c r="T24">
        <v>14614</v>
      </c>
      <c r="U24">
        <f t="shared" ref="U24:U26" si="27">SUM(R24:T24)/10^6</f>
        <v>1.5358E-2</v>
      </c>
      <c r="V24">
        <v>135</v>
      </c>
      <c r="W24">
        <v>71</v>
      </c>
      <c r="X24">
        <v>506</v>
      </c>
      <c r="Y24">
        <f t="shared" ref="Y24:Y26" si="28">SUM(V24:X24)/10^6</f>
        <v>7.1199999999999996E-4</v>
      </c>
      <c r="Z24">
        <v>128</v>
      </c>
      <c r="AA24">
        <v>491</v>
      </c>
      <c r="AB24">
        <v>7191</v>
      </c>
      <c r="AC24">
        <f t="shared" ref="AC24:AC26" si="29">SUM(Z24:AB24)/10^6</f>
        <v>7.8100000000000001E-3</v>
      </c>
      <c r="AD24">
        <v>142</v>
      </c>
      <c r="AE24">
        <v>115</v>
      </c>
      <c r="AF24">
        <v>210</v>
      </c>
      <c r="AG24">
        <f t="shared" ref="AG24:AG26" si="30">SUM(AD24:AF24)/10^6</f>
        <v>4.6700000000000002E-4</v>
      </c>
    </row>
    <row r="25" spans="1:35">
      <c r="A25">
        <v>1000</v>
      </c>
      <c r="B25">
        <v>100000</v>
      </c>
      <c r="C25">
        <f t="shared" ref="C25:C26" si="31">A25/10</f>
        <v>100</v>
      </c>
      <c r="D25">
        <v>0.1</v>
      </c>
      <c r="E25" cm="1">
        <f t="array" ref="E25">10^{-12}</f>
        <v>9.9999999999999998E-13</v>
      </c>
      <c r="F25">
        <v>1</v>
      </c>
      <c r="G25" cm="1">
        <f t="array" ref="G25">10^{-12}</f>
        <v>9.9999999999999998E-13</v>
      </c>
      <c r="H25">
        <v>3453878</v>
      </c>
      <c r="I25">
        <f>A25+H25</f>
        <v>3454878</v>
      </c>
      <c r="J25">
        <f>$A25+$C25*1074</f>
        <v>108400</v>
      </c>
      <c r="K25">
        <f t="shared" ref="K25:K26" si="32">$A25+$C25*40</f>
        <v>5000</v>
      </c>
      <c r="L25">
        <f t="shared" si="24"/>
        <v>57700.000000299995</v>
      </c>
      <c r="M25">
        <f t="shared" si="25"/>
        <v>2378.3781700600002</v>
      </c>
      <c r="N25">
        <v>124</v>
      </c>
      <c r="O25">
        <v>72836</v>
      </c>
      <c r="P25">
        <v>652451</v>
      </c>
      <c r="Q25">
        <f t="shared" si="26"/>
        <v>0.72541100000000003</v>
      </c>
      <c r="R25">
        <v>111</v>
      </c>
      <c r="S25">
        <v>633</v>
      </c>
      <c r="T25">
        <v>14614</v>
      </c>
      <c r="U25">
        <f t="shared" si="27"/>
        <v>1.5358E-2</v>
      </c>
      <c r="V25">
        <v>135</v>
      </c>
      <c r="W25">
        <v>71</v>
      </c>
      <c r="X25">
        <v>506</v>
      </c>
      <c r="Y25">
        <f t="shared" si="28"/>
        <v>7.1199999999999996E-4</v>
      </c>
      <c r="Z25">
        <v>128</v>
      </c>
      <c r="AA25">
        <v>491</v>
      </c>
      <c r="AB25">
        <v>7191</v>
      </c>
      <c r="AC25">
        <f t="shared" si="29"/>
        <v>7.8100000000000001E-3</v>
      </c>
      <c r="AD25">
        <v>142</v>
      </c>
      <c r="AE25">
        <v>115</v>
      </c>
      <c r="AF25">
        <v>210</v>
      </c>
      <c r="AG25">
        <f t="shared" si="30"/>
        <v>4.6700000000000002E-4</v>
      </c>
    </row>
    <row r="26" spans="1:35">
      <c r="A26">
        <v>1000</v>
      </c>
      <c r="B26">
        <v>1000000</v>
      </c>
      <c r="C26">
        <f t="shared" si="31"/>
        <v>100</v>
      </c>
      <c r="D26">
        <v>0.1</v>
      </c>
      <c r="E26" cm="1">
        <f t="array" ref="E26">10^{-12}</f>
        <v>9.9999999999999998E-13</v>
      </c>
      <c r="F26">
        <v>1</v>
      </c>
      <c r="G26" cm="1">
        <f t="array" ref="G26">10^{-12}</f>
        <v>9.9999999999999998E-13</v>
      </c>
      <c r="H26">
        <v>3453878</v>
      </c>
      <c r="I26">
        <f>A26+H26</f>
        <v>3454878</v>
      </c>
      <c r="J26">
        <f>$A26+$C26*1074</f>
        <v>108400</v>
      </c>
      <c r="K26">
        <f t="shared" si="32"/>
        <v>5000</v>
      </c>
      <c r="L26">
        <f t="shared" si="24"/>
        <v>57700.000000299995</v>
      </c>
      <c r="M26">
        <f>$A26+$C26*13.7837817006</f>
        <v>2378.3781700600002</v>
      </c>
      <c r="N26">
        <v>124</v>
      </c>
      <c r="O26">
        <v>72836</v>
      </c>
      <c r="P26">
        <v>652451</v>
      </c>
      <c r="Q26">
        <f t="shared" si="26"/>
        <v>0.72541100000000003</v>
      </c>
      <c r="R26">
        <v>111</v>
      </c>
      <c r="S26">
        <v>633</v>
      </c>
      <c r="T26">
        <v>14614</v>
      </c>
      <c r="U26">
        <f t="shared" si="27"/>
        <v>1.5358E-2</v>
      </c>
      <c r="V26">
        <v>135</v>
      </c>
      <c r="W26">
        <v>71</v>
      </c>
      <c r="X26">
        <v>506</v>
      </c>
      <c r="Y26">
        <f t="shared" si="28"/>
        <v>7.1199999999999996E-4</v>
      </c>
      <c r="Z26">
        <v>128</v>
      </c>
      <c r="AA26">
        <v>491</v>
      </c>
      <c r="AB26">
        <v>7191</v>
      </c>
      <c r="AC26">
        <f t="shared" si="29"/>
        <v>7.8100000000000001E-3</v>
      </c>
      <c r="AD26">
        <v>142</v>
      </c>
      <c r="AE26">
        <v>115</v>
      </c>
      <c r="AF26">
        <v>210</v>
      </c>
      <c r="AG26">
        <f t="shared" si="30"/>
        <v>4.6700000000000002E-4</v>
      </c>
    </row>
    <row r="28" spans="1:35">
      <c r="A28" s="1" t="s">
        <v>31</v>
      </c>
    </row>
    <row r="29" spans="1:35">
      <c r="J29" t="s">
        <v>10</v>
      </c>
      <c r="K29" t="s">
        <v>12</v>
      </c>
      <c r="L29" t="s">
        <v>2</v>
      </c>
      <c r="M29" t="s">
        <v>4</v>
      </c>
      <c r="R29" t="s">
        <v>10</v>
      </c>
      <c r="V29" t="s">
        <v>12</v>
      </c>
      <c r="Z29" t="s">
        <v>2</v>
      </c>
      <c r="AD29" t="s">
        <v>4</v>
      </c>
      <c r="AH29" t="s">
        <v>37</v>
      </c>
    </row>
    <row r="30" spans="1:35">
      <c r="A30" t="s">
        <v>5</v>
      </c>
      <c r="B30" t="s">
        <v>6</v>
      </c>
      <c r="C30" t="s">
        <v>14</v>
      </c>
      <c r="D30" t="s">
        <v>7</v>
      </c>
      <c r="E30" t="s">
        <v>3</v>
      </c>
      <c r="F30" t="s">
        <v>8</v>
      </c>
      <c r="G30" t="s">
        <v>9</v>
      </c>
      <c r="J30" t="s">
        <v>11</v>
      </c>
      <c r="K30" t="s">
        <v>11</v>
      </c>
      <c r="L30" t="s">
        <v>11</v>
      </c>
      <c r="M30" t="s">
        <v>11</v>
      </c>
      <c r="R30" t="s">
        <v>18</v>
      </c>
      <c r="S30" t="s">
        <v>16</v>
      </c>
      <c r="T30" t="s">
        <v>17</v>
      </c>
      <c r="U30" t="s">
        <v>19</v>
      </c>
      <c r="V30" t="s">
        <v>18</v>
      </c>
      <c r="W30" t="s">
        <v>16</v>
      </c>
      <c r="X30" t="s">
        <v>17</v>
      </c>
      <c r="Y30" t="s">
        <v>19</v>
      </c>
      <c r="Z30" t="s">
        <v>18</v>
      </c>
      <c r="AA30" t="s">
        <v>16</v>
      </c>
      <c r="AB30" t="s">
        <v>17</v>
      </c>
      <c r="AC30" t="s">
        <v>19</v>
      </c>
      <c r="AD30" t="s">
        <v>18</v>
      </c>
      <c r="AE30" t="s">
        <v>16</v>
      </c>
      <c r="AF30" t="s">
        <v>17</v>
      </c>
      <c r="AG30" t="s">
        <v>19</v>
      </c>
      <c r="AI30" t="s">
        <v>19</v>
      </c>
    </row>
    <row r="31" spans="1:35">
      <c r="A31">
        <v>1000</v>
      </c>
      <c r="B31">
        <v>1000</v>
      </c>
      <c r="C31" t="s">
        <v>13</v>
      </c>
      <c r="D31">
        <v>0.1</v>
      </c>
      <c r="E31" cm="1">
        <f t="array" ref="E31">10^{-12}</f>
        <v>9.9999999999999998E-13</v>
      </c>
      <c r="F31">
        <v>1</v>
      </c>
      <c r="G31" cm="1">
        <f t="array" ref="G31">10^{-12}</f>
        <v>9.9999999999999998E-13</v>
      </c>
      <c r="J31">
        <f t="shared" ref="J31:J36" si="33">$A31+$B31*1074</f>
        <v>1075000</v>
      </c>
      <c r="K31">
        <f t="shared" ref="K31:K36" si="34">$A31+$B31*40</f>
        <v>41000</v>
      </c>
      <c r="L31">
        <f t="shared" ref="L31:L36" si="35">$A31+$B31*567.000000003</f>
        <v>568000.00000300002</v>
      </c>
      <c r="M31">
        <f t="shared" ref="M31:M36" si="36">$A31+$B31*13.7837817006</f>
        <v>14783.7817006</v>
      </c>
      <c r="R31">
        <v>106</v>
      </c>
      <c r="S31">
        <v>5913</v>
      </c>
      <c r="T31">
        <v>187942</v>
      </c>
      <c r="U31">
        <f t="shared" ref="U31" si="37">SUM(R31:T31)/10^6</f>
        <v>0.19396099999999999</v>
      </c>
      <c r="V31">
        <v>110</v>
      </c>
      <c r="W31">
        <v>497</v>
      </c>
      <c r="X31">
        <v>5124</v>
      </c>
      <c r="Y31">
        <f t="shared" ref="Y31" si="38">SUM(V31:X31)/10^6</f>
        <v>5.731E-3</v>
      </c>
      <c r="Z31">
        <v>107</v>
      </c>
      <c r="AA31">
        <v>4629</v>
      </c>
      <c r="AB31">
        <v>94196</v>
      </c>
      <c r="AC31">
        <f t="shared" ref="AC31" si="39">SUM(Z31:AB31)/10^6</f>
        <v>9.8932000000000006E-2</v>
      </c>
      <c r="AD31">
        <v>109</v>
      </c>
      <c r="AE31">
        <v>871</v>
      </c>
      <c r="AF31">
        <v>1550</v>
      </c>
      <c r="AG31">
        <f t="shared" ref="AG31" si="40">SUM(AD31:AF31)/10^6</f>
        <v>2.5300000000000001E-3</v>
      </c>
      <c r="AH31">
        <v>2363</v>
      </c>
      <c r="AI31">
        <f t="shared" ref="AI31" si="41">AH31/10^6</f>
        <v>2.3630000000000001E-3</v>
      </c>
    </row>
    <row r="32" spans="1:35">
      <c r="A32">
        <v>10000</v>
      </c>
      <c r="B32">
        <v>10000</v>
      </c>
      <c r="C32" t="s">
        <v>13</v>
      </c>
      <c r="D32">
        <v>0.1</v>
      </c>
      <c r="E32" cm="1">
        <f t="array" ref="E32">10^{-12}</f>
        <v>9.9999999999999998E-13</v>
      </c>
      <c r="F32">
        <v>1</v>
      </c>
      <c r="G32" cm="1">
        <f t="array" ref="G32">10^{-12}</f>
        <v>9.9999999999999998E-13</v>
      </c>
      <c r="J32">
        <f t="shared" si="33"/>
        <v>10750000</v>
      </c>
      <c r="K32">
        <f t="shared" si="34"/>
        <v>410000</v>
      </c>
      <c r="L32">
        <f t="shared" si="35"/>
        <v>5680000.0000299998</v>
      </c>
      <c r="M32">
        <f t="shared" si="36"/>
        <v>147837.817006</v>
      </c>
      <c r="R32">
        <v>944</v>
      </c>
      <c r="S32">
        <v>59406</v>
      </c>
      <c r="T32">
        <v>2308947</v>
      </c>
      <c r="U32">
        <f t="shared" ref="U32" si="42">SUM(R32:T32)/10^6</f>
        <v>2.369297</v>
      </c>
      <c r="V32">
        <v>932</v>
      </c>
      <c r="W32">
        <v>4341</v>
      </c>
      <c r="X32">
        <v>63805</v>
      </c>
      <c r="Y32">
        <f t="shared" ref="Y32" si="43">SUM(V32:X32)/10^6</f>
        <v>6.9078000000000001E-2</v>
      </c>
      <c r="Z32">
        <v>941</v>
      </c>
      <c r="AA32">
        <v>45548</v>
      </c>
      <c r="AB32">
        <v>1136049</v>
      </c>
      <c r="AC32">
        <f t="shared" ref="AC32" si="44">SUM(Z32:AB32)/10^6</f>
        <v>1.1825380000000001</v>
      </c>
      <c r="AD32">
        <v>948</v>
      </c>
      <c r="AE32">
        <v>8108</v>
      </c>
      <c r="AF32">
        <v>21432</v>
      </c>
      <c r="AG32">
        <f t="shared" ref="AG32" si="45">SUM(AD32:AF32)/10^6</f>
        <v>3.0488000000000001E-2</v>
      </c>
      <c r="AH32">
        <v>233219</v>
      </c>
      <c r="AI32">
        <f t="shared" ref="AI32" si="46">AH32/10^6</f>
        <v>0.23321900000000001</v>
      </c>
    </row>
    <row r="33" spans="1:35">
      <c r="A33">
        <v>100000</v>
      </c>
      <c r="B33">
        <v>100000</v>
      </c>
      <c r="C33" t="s">
        <v>13</v>
      </c>
      <c r="D33">
        <v>0.1</v>
      </c>
      <c r="E33" cm="1">
        <f t="array" ref="E33">10^{-12}</f>
        <v>9.9999999999999998E-13</v>
      </c>
      <c r="F33">
        <v>1</v>
      </c>
      <c r="G33" cm="1">
        <f t="array" ref="G33">10^{-12}</f>
        <v>9.9999999999999998E-13</v>
      </c>
      <c r="J33">
        <f t="shared" si="33"/>
        <v>107500000</v>
      </c>
      <c r="K33">
        <f t="shared" si="34"/>
        <v>4100000</v>
      </c>
      <c r="L33">
        <f t="shared" si="35"/>
        <v>56800000.000299998</v>
      </c>
      <c r="M33">
        <f t="shared" si="36"/>
        <v>1478378.1700600001</v>
      </c>
      <c r="R33">
        <v>9188</v>
      </c>
      <c r="S33">
        <v>594633</v>
      </c>
      <c r="T33">
        <v>30161126</v>
      </c>
      <c r="U33">
        <f t="shared" ref="U33" si="47">SUM(R33:T33)/10^6</f>
        <v>30.764946999999999</v>
      </c>
      <c r="V33">
        <v>9067</v>
      </c>
      <c r="W33">
        <v>43173</v>
      </c>
      <c r="X33">
        <v>775201</v>
      </c>
      <c r="Y33">
        <f t="shared" ref="Y33" si="48">SUM(V33:X33)/10^6</f>
        <v>0.82744099999999998</v>
      </c>
      <c r="Z33">
        <v>9126</v>
      </c>
      <c r="AA33">
        <v>457780</v>
      </c>
      <c r="AB33">
        <v>14394240</v>
      </c>
      <c r="AC33">
        <f t="shared" ref="AC33" si="49">SUM(Z33:AB33)/10^6</f>
        <v>14.861146</v>
      </c>
      <c r="AD33">
        <v>8864</v>
      </c>
      <c r="AE33">
        <v>80580</v>
      </c>
      <c r="AF33">
        <v>260901</v>
      </c>
      <c r="AG33">
        <f t="shared" ref="AG33" si="50">SUM(AD33:AF33)/10^6</f>
        <v>0.35034500000000002</v>
      </c>
      <c r="AH33">
        <v>23292737</v>
      </c>
      <c r="AI33">
        <f t="shared" ref="AI33" si="51">AH33/10^6</f>
        <v>23.292736999999999</v>
      </c>
    </row>
    <row r="34" spans="1:35">
      <c r="A34">
        <v>1000000</v>
      </c>
      <c r="B34">
        <v>1000000</v>
      </c>
      <c r="D34">
        <v>0.1</v>
      </c>
      <c r="E34" cm="1">
        <f t="array" ref="E34">10^{-12}</f>
        <v>9.9999999999999998E-13</v>
      </c>
      <c r="F34">
        <v>1</v>
      </c>
      <c r="G34" cm="1">
        <f t="array" ref="G34">10^{-12}</f>
        <v>9.9999999999999998E-13</v>
      </c>
      <c r="J34">
        <f t="shared" si="33"/>
        <v>1075000000</v>
      </c>
      <c r="K34">
        <f t="shared" si="34"/>
        <v>41000000</v>
      </c>
      <c r="L34">
        <f t="shared" si="35"/>
        <v>568000000.00300002</v>
      </c>
      <c r="M34">
        <f t="shared" si="36"/>
        <v>14783781.7006</v>
      </c>
      <c r="Q34" t="s">
        <v>20</v>
      </c>
      <c r="U34">
        <f>U33/(J33*LN(J33)*LN(J33))*(J34*LN(J34)*LN(J34))</f>
        <v>389.03055476153929</v>
      </c>
      <c r="Y34">
        <f>Y33/(K33*LN(K33)*LN(K33))*(K34*LN(K34)*LN(K34))</f>
        <v>10.966180246277622</v>
      </c>
      <c r="AC34">
        <f>AC33/(L33*LN(L33)*LN(L33))*(L34*LN(L34)*LN(L34))</f>
        <v>189.41280468976393</v>
      </c>
      <c r="AG34">
        <f>AG33/(M33*LN(M33)*LN(M33))*(M34*LN(M34)*LN(M34))</f>
        <v>4.7311652559015185</v>
      </c>
      <c r="AI34">
        <f>AI33/(A33*B33)*(A34*B34)</f>
        <v>2329.2736999999997</v>
      </c>
    </row>
    <row r="35" spans="1:35">
      <c r="A35">
        <v>10000000</v>
      </c>
      <c r="B35">
        <v>10000000</v>
      </c>
      <c r="D35">
        <v>0.1</v>
      </c>
      <c r="E35" cm="1">
        <f t="array" ref="E35">10^{-12}</f>
        <v>9.9999999999999998E-13</v>
      </c>
      <c r="F35">
        <v>1</v>
      </c>
      <c r="G35" cm="1">
        <f t="array" ref="G35">10^{-12}</f>
        <v>9.9999999999999998E-13</v>
      </c>
      <c r="J35">
        <f t="shared" si="33"/>
        <v>10750000000</v>
      </c>
      <c r="K35">
        <f t="shared" si="34"/>
        <v>410000000</v>
      </c>
      <c r="L35">
        <f t="shared" si="35"/>
        <v>5680000000.0299997</v>
      </c>
      <c r="M35">
        <f t="shared" si="36"/>
        <v>147837817.00600001</v>
      </c>
      <c r="U35">
        <f t="shared" ref="U35:U36" si="52">U34/(J34*LN(J34)*LN(J34))*(J35*LN(J35)*LN(J35))</f>
        <v>4799.5063711093771</v>
      </c>
      <c r="Y35">
        <f t="shared" ref="Y35:Y36" si="53">Y34/(K34*LN(K34)*LN(K34))*(K35*LN(K35)*LN(K35))</f>
        <v>140.36391662777871</v>
      </c>
      <c r="AC35">
        <f t="shared" ref="AC35:AC36" si="54">AC34/(L34*LN(L34)*LN(L34))*(L35*LN(L35)*LN(L35))</f>
        <v>2351.5716159930944</v>
      </c>
      <c r="AG35">
        <f t="shared" ref="AG35:AG36" si="55">AG34/(M34*LN(M34)*LN(M34))*(M35*LN(M35)*LN(M35))</f>
        <v>61.429516859572445</v>
      </c>
      <c r="AI35">
        <f t="shared" ref="AI35:AI36" si="56">AI34/(A34*B34)*(A35*B35)</f>
        <v>232927.36999999997</v>
      </c>
    </row>
    <row r="36" spans="1:35">
      <c r="A36">
        <v>100000000</v>
      </c>
      <c r="B36">
        <v>100000000</v>
      </c>
      <c r="D36">
        <v>0.1</v>
      </c>
      <c r="E36" cm="1">
        <f t="array" ref="E36">10^{-12}</f>
        <v>9.9999999999999998E-13</v>
      </c>
      <c r="F36">
        <v>1</v>
      </c>
      <c r="G36" cm="1">
        <f t="array" ref="G36">10^{-12}</f>
        <v>9.9999999999999998E-13</v>
      </c>
      <c r="J36">
        <f t="shared" si="33"/>
        <v>107500000000</v>
      </c>
      <c r="K36">
        <f t="shared" si="34"/>
        <v>4100000000</v>
      </c>
      <c r="L36">
        <f t="shared" si="35"/>
        <v>56800000000.299995</v>
      </c>
      <c r="M36">
        <f t="shared" si="36"/>
        <v>1478378170.0599999</v>
      </c>
      <c r="U36">
        <f t="shared" si="52"/>
        <v>58040.971704819582</v>
      </c>
      <c r="Y36">
        <f t="shared" si="53"/>
        <v>1748.5044249500738</v>
      </c>
      <c r="AC36">
        <f t="shared" si="54"/>
        <v>28584.453072863642</v>
      </c>
      <c r="AG36">
        <f t="shared" si="55"/>
        <v>773.88092901671803</v>
      </c>
      <c r="AI36">
        <f t="shared" si="56"/>
        <v>23292736.999999996</v>
      </c>
    </row>
    <row r="38" spans="1:35">
      <c r="A38" s="1" t="s">
        <v>27</v>
      </c>
    </row>
    <row r="39" spans="1:35">
      <c r="D39" t="s">
        <v>0</v>
      </c>
      <c r="G39" t="s">
        <v>10</v>
      </c>
      <c r="J39" t="s">
        <v>12</v>
      </c>
      <c r="M39" t="s">
        <v>2</v>
      </c>
      <c r="P39" t="s">
        <v>4</v>
      </c>
    </row>
    <row r="40" spans="1:35">
      <c r="A40" t="s">
        <v>5</v>
      </c>
      <c r="B40" t="s">
        <v>6</v>
      </c>
      <c r="C40" t="s">
        <v>14</v>
      </c>
      <c r="D40" t="s">
        <v>24</v>
      </c>
      <c r="E40" t="s">
        <v>25</v>
      </c>
      <c r="F40" t="s">
        <v>26</v>
      </c>
      <c r="G40" t="s">
        <v>24</v>
      </c>
      <c r="H40" t="s">
        <v>25</v>
      </c>
      <c r="I40" t="s">
        <v>26</v>
      </c>
      <c r="J40" t="s">
        <v>24</v>
      </c>
      <c r="K40" t="s">
        <v>25</v>
      </c>
      <c r="L40" t="s">
        <v>26</v>
      </c>
      <c r="M40" t="s">
        <v>24</v>
      </c>
      <c r="N40" t="s">
        <v>25</v>
      </c>
      <c r="O40" t="s">
        <v>26</v>
      </c>
      <c r="P40" t="s">
        <v>24</v>
      </c>
      <c r="Q40" t="s">
        <v>25</v>
      </c>
      <c r="R40" t="s">
        <v>26</v>
      </c>
    </row>
    <row r="41" spans="1:35">
      <c r="A41">
        <v>1000000</v>
      </c>
      <c r="B41">
        <v>1000</v>
      </c>
      <c r="C41" t="s">
        <v>13</v>
      </c>
      <c r="D41">
        <f>N8/10^6</f>
        <v>9.1332999999999998E-2</v>
      </c>
      <c r="E41">
        <f>O8/10^6</f>
        <v>0.55037700000000001</v>
      </c>
      <c r="F41">
        <f>P8/10^6</f>
        <v>8.938466</v>
      </c>
      <c r="G41">
        <f>R8/10^6</f>
        <v>9.1712000000000002E-2</v>
      </c>
      <c r="H41">
        <f>S8/10^6</f>
        <v>6.5620000000000001E-3</v>
      </c>
      <c r="I41">
        <f>T8/10^6</f>
        <v>0.36892000000000003</v>
      </c>
      <c r="J41">
        <f>V8/10^6</f>
        <v>9.0511999999999995E-2</v>
      </c>
      <c r="K41">
        <f>W8/10^6</f>
        <v>1.018E-3</v>
      </c>
      <c r="L41">
        <f>X8/10^6</f>
        <v>0.17315800000000001</v>
      </c>
      <c r="M41">
        <f>Z8/10^6</f>
        <v>9.0915999999999997E-2</v>
      </c>
      <c r="N41">
        <f>AA8/10^6</f>
        <v>5.169E-3</v>
      </c>
      <c r="O41">
        <f>AB8/10^6</f>
        <v>0.27807900000000002</v>
      </c>
      <c r="P41">
        <f>AD8/10^6</f>
        <v>8.9965000000000003E-2</v>
      </c>
      <c r="Q41">
        <f>AE8/10^6</f>
        <v>1.3960000000000001E-3</v>
      </c>
      <c r="R41">
        <f>AF8/10^6</f>
        <v>0.16857900000000001</v>
      </c>
    </row>
    <row r="42" spans="1:35">
      <c r="A42">
        <v>1000</v>
      </c>
      <c r="B42">
        <v>1000000</v>
      </c>
      <c r="C42">
        <f>A42</f>
        <v>1000</v>
      </c>
      <c r="D42">
        <f>N17/10^6</f>
        <v>1.2300000000000001E-4</v>
      </c>
      <c r="E42">
        <f>O17/10^6</f>
        <v>0.55007499999999998</v>
      </c>
      <c r="F42">
        <f>P17/10^6</f>
        <v>8.4180840000000003</v>
      </c>
      <c r="G42">
        <f>R17/10^6</f>
        <v>1.2799999999999999E-4</v>
      </c>
      <c r="H42">
        <f>S17/10^6</f>
        <v>6.0070000000000002E-3</v>
      </c>
      <c r="I42">
        <f>T17/10^6</f>
        <v>0.188356</v>
      </c>
      <c r="J42">
        <f>V17/10^6</f>
        <v>1.2799999999999999E-4</v>
      </c>
      <c r="K42">
        <f>W17/10^6</f>
        <v>4.9899999999999999E-4</v>
      </c>
      <c r="L42">
        <f>X17/10^6</f>
        <v>5.1180000000000002E-3</v>
      </c>
      <c r="M42">
        <f>Z17/10^6</f>
        <v>1.3200000000000001E-4</v>
      </c>
      <c r="N42">
        <f>AA17/10^6</f>
        <v>4.6090000000000002E-3</v>
      </c>
      <c r="O42">
        <f>AB17/10^6</f>
        <v>9.4413999999999998E-2</v>
      </c>
      <c r="P42">
        <f>AD17/10^6</f>
        <v>1.27E-4</v>
      </c>
      <c r="Q42">
        <f>AE17/10^6</f>
        <v>8.3600000000000005E-4</v>
      </c>
      <c r="R42">
        <f>AF17/10^6</f>
        <v>1.5380000000000001E-3</v>
      </c>
    </row>
    <row r="43" spans="1:35">
      <c r="A43">
        <v>1000</v>
      </c>
      <c r="B43">
        <v>1000000</v>
      </c>
      <c r="C43">
        <f t="shared" ref="C43" si="57">A43/10</f>
        <v>100</v>
      </c>
      <c r="D43">
        <f>N26/10^6</f>
        <v>1.2400000000000001E-4</v>
      </c>
      <c r="E43">
        <f>O26/10^6</f>
        <v>7.2835999999999998E-2</v>
      </c>
      <c r="F43">
        <f>P26/10^6</f>
        <v>0.652451</v>
      </c>
      <c r="G43">
        <f>R26/10^6</f>
        <v>1.11E-4</v>
      </c>
      <c r="H43">
        <f>S26/10^6</f>
        <v>6.3299999999999999E-4</v>
      </c>
      <c r="I43">
        <f>T26/10^6</f>
        <v>1.4614E-2</v>
      </c>
      <c r="J43">
        <f>V26/10^6</f>
        <v>1.35E-4</v>
      </c>
      <c r="K43">
        <f>W26/10^6</f>
        <v>7.1000000000000005E-5</v>
      </c>
      <c r="L43">
        <f>X26/10^6</f>
        <v>5.0600000000000005E-4</v>
      </c>
      <c r="M43">
        <f>Z26/10^6</f>
        <v>1.2799999999999999E-4</v>
      </c>
      <c r="N43">
        <f>AA26/10^6</f>
        <v>4.9100000000000001E-4</v>
      </c>
      <c r="O43">
        <f>AB26/10^6</f>
        <v>7.1910000000000003E-3</v>
      </c>
      <c r="P43">
        <f>AD26/10^6</f>
        <v>1.4200000000000001E-4</v>
      </c>
      <c r="Q43">
        <f>AE26/10^6</f>
        <v>1.15E-4</v>
      </c>
      <c r="R43">
        <f>AF26/10^6</f>
        <v>2.1000000000000001E-4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6C7F-AD0A-4E2E-9E66-7EA7B3D8E99D}">
  <dimension ref="A1:AG26"/>
  <sheetViews>
    <sheetView zoomScale="85" zoomScaleNormal="85" workbookViewId="0"/>
  </sheetViews>
  <sheetFormatPr defaultRowHeight="17.649999999999999"/>
  <cols>
    <col min="3" max="3" width="11.625" bestFit="1" customWidth="1"/>
    <col min="4" max="4" width="12.1875" bestFit="1" customWidth="1"/>
    <col min="5" max="5" width="14.1875" bestFit="1" customWidth="1"/>
    <col min="6" max="6" width="14.75" bestFit="1" customWidth="1"/>
    <col min="7" max="7" width="12.625" bestFit="1" customWidth="1"/>
    <col min="8" max="8" width="14" bestFit="1" customWidth="1"/>
    <col min="9" max="11" width="14.625" bestFit="1" customWidth="1"/>
    <col min="12" max="13" width="20.4375" bestFit="1" customWidth="1"/>
    <col min="14" max="14" width="8.4375" customWidth="1"/>
    <col min="15" max="15" width="6.8125" bestFit="1" customWidth="1"/>
    <col min="16" max="16" width="9.9375" bestFit="1" customWidth="1"/>
    <col min="17" max="17" width="10.9375" bestFit="1" customWidth="1"/>
    <col min="18" max="18" width="14.3125" customWidth="1"/>
    <col min="19" max="19" width="6.6875" customWidth="1"/>
    <col min="20" max="20" width="8.9375" bestFit="1" customWidth="1"/>
    <col min="21" max="21" width="9.9375" bestFit="1" customWidth="1"/>
    <col min="22" max="22" width="14.1875" bestFit="1" customWidth="1"/>
    <col min="23" max="23" width="6.6875" bestFit="1" customWidth="1"/>
    <col min="25" max="25" width="9.9375" bestFit="1" customWidth="1"/>
    <col min="26" max="26" width="15.3125" bestFit="1" customWidth="1"/>
    <col min="27" max="27" width="6.6875" bestFit="1" customWidth="1"/>
    <col min="28" max="28" width="8.9375" bestFit="1" customWidth="1"/>
    <col min="29" max="29" width="9.9375" bestFit="1" customWidth="1"/>
    <col min="30" max="30" width="15.3125" bestFit="1" customWidth="1"/>
    <col min="33" max="33" width="9.9375" bestFit="1" customWidth="1"/>
    <col min="34" max="34" width="11.0625" bestFit="1" customWidth="1"/>
  </cols>
  <sheetData>
    <row r="1" spans="1:33">
      <c r="A1" s="1" t="s">
        <v>21</v>
      </c>
      <c r="N1" t="s">
        <v>23</v>
      </c>
    </row>
    <row r="2" spans="1:33">
      <c r="H2" t="s">
        <v>0</v>
      </c>
      <c r="I2" t="s">
        <v>0</v>
      </c>
      <c r="J2" t="s">
        <v>10</v>
      </c>
      <c r="K2" t="s">
        <v>12</v>
      </c>
      <c r="L2" t="s">
        <v>2</v>
      </c>
      <c r="M2" t="s">
        <v>4</v>
      </c>
      <c r="N2" t="s">
        <v>0</v>
      </c>
      <c r="R2" t="s">
        <v>10</v>
      </c>
      <c r="V2" t="s">
        <v>12</v>
      </c>
      <c r="Z2" t="s">
        <v>2</v>
      </c>
      <c r="AD2" t="s">
        <v>4</v>
      </c>
    </row>
    <row r="3" spans="1:33">
      <c r="A3" t="s">
        <v>5</v>
      </c>
      <c r="B3" t="s">
        <v>6</v>
      </c>
      <c r="C3" t="s">
        <v>14</v>
      </c>
      <c r="D3" t="s">
        <v>7</v>
      </c>
      <c r="E3" t="s">
        <v>3</v>
      </c>
      <c r="F3" t="s">
        <v>8</v>
      </c>
      <c r="G3" t="s">
        <v>9</v>
      </c>
      <c r="H3" t="s">
        <v>1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  <c r="N3" t="s">
        <v>15</v>
      </c>
      <c r="O3" t="s">
        <v>16</v>
      </c>
      <c r="P3" t="s">
        <v>17</v>
      </c>
      <c r="Q3" t="s">
        <v>19</v>
      </c>
      <c r="R3" t="s">
        <v>18</v>
      </c>
      <c r="S3" t="s">
        <v>16</v>
      </c>
      <c r="T3" t="s">
        <v>17</v>
      </c>
      <c r="U3" t="s">
        <v>19</v>
      </c>
      <c r="V3" t="s">
        <v>18</v>
      </c>
      <c r="W3" t="s">
        <v>16</v>
      </c>
      <c r="X3" t="s">
        <v>17</v>
      </c>
      <c r="Y3" t="s">
        <v>19</v>
      </c>
      <c r="Z3" t="s">
        <v>18</v>
      </c>
      <c r="AA3" t="s">
        <v>16</v>
      </c>
      <c r="AB3" t="s">
        <v>17</v>
      </c>
      <c r="AC3" t="s">
        <v>19</v>
      </c>
      <c r="AD3" t="s">
        <v>18</v>
      </c>
      <c r="AE3" t="s">
        <v>16</v>
      </c>
      <c r="AF3" t="s">
        <v>17</v>
      </c>
      <c r="AG3" t="s">
        <v>19</v>
      </c>
    </row>
    <row r="4" spans="1:33">
      <c r="A4">
        <v>100</v>
      </c>
      <c r="B4">
        <v>1000</v>
      </c>
      <c r="C4" t="s">
        <v>13</v>
      </c>
      <c r="D4">
        <v>0.1</v>
      </c>
      <c r="E4" cm="1">
        <f t="array" ref="E4">10^{-12}</f>
        <v>9.9999999999999998E-13</v>
      </c>
      <c r="F4">
        <v>1</v>
      </c>
      <c r="G4" cm="1">
        <f t="array" ref="G4">10^{-12}</f>
        <v>9.9999999999999998E-13</v>
      </c>
      <c r="H4">
        <v>34538777</v>
      </c>
      <c r="I4" s="2">
        <f>A4+H4</f>
        <v>34538877</v>
      </c>
      <c r="J4">
        <f>$A4+$B4*1074</f>
        <v>1074100</v>
      </c>
      <c r="K4">
        <f>$A4+$B4*40</f>
        <v>40100</v>
      </c>
      <c r="L4">
        <f>$A4+$B4*567.000000003</f>
        <v>567100.00000300002</v>
      </c>
      <c r="M4">
        <f>$A4+$B4*13.7837817006</f>
        <v>13883.7817006</v>
      </c>
      <c r="R4">
        <v>21</v>
      </c>
      <c r="S4">
        <v>5993</v>
      </c>
      <c r="T4">
        <v>2885122</v>
      </c>
      <c r="U4">
        <f>SUM(R4:T4)/10^6</f>
        <v>2.8911359999999999</v>
      </c>
      <c r="V4">
        <v>21</v>
      </c>
      <c r="W4">
        <v>505</v>
      </c>
      <c r="X4">
        <v>57505</v>
      </c>
      <c r="Y4">
        <f>SUM(V4:X4)/10^6</f>
        <v>5.8030999999999999E-2</v>
      </c>
      <c r="Z4">
        <v>21</v>
      </c>
      <c r="AA4">
        <v>4680</v>
      </c>
      <c r="AB4">
        <v>1339953</v>
      </c>
      <c r="AC4">
        <f>SUM(Z4:AB4)/10^6</f>
        <v>1.344654</v>
      </c>
      <c r="AD4">
        <v>21</v>
      </c>
      <c r="AE4">
        <v>863</v>
      </c>
      <c r="AF4">
        <v>16299</v>
      </c>
      <c r="AG4">
        <f>SUM(AD4:AF4)/10^6</f>
        <v>1.7183E-2</v>
      </c>
    </row>
    <row r="5" spans="1:33">
      <c r="A5">
        <v>1000</v>
      </c>
      <c r="B5">
        <v>1000</v>
      </c>
      <c r="C5" t="s">
        <v>13</v>
      </c>
      <c r="D5">
        <v>0.1</v>
      </c>
      <c r="E5" cm="1">
        <f t="array" ref="E5">10^{-12}</f>
        <v>9.9999999999999998E-13</v>
      </c>
      <c r="F5">
        <v>1</v>
      </c>
      <c r="G5" cm="1">
        <f t="array" ref="G5">10^{-12}</f>
        <v>9.9999999999999998E-13</v>
      </c>
      <c r="H5">
        <v>34538777</v>
      </c>
      <c r="I5" s="2">
        <f>A5+H5</f>
        <v>34539777</v>
      </c>
      <c r="J5">
        <f t="shared" ref="J5:J8" si="0">$A5+$B5*1074</f>
        <v>1075000</v>
      </c>
      <c r="K5">
        <f t="shared" ref="K5:K8" si="1">$A5+$B5*40</f>
        <v>41000</v>
      </c>
      <c r="L5">
        <f t="shared" ref="L5:L8" si="2">$A5+$B5*567.000000003</f>
        <v>568000.00000300002</v>
      </c>
      <c r="M5">
        <f t="shared" ref="M5:M8" si="3">$A5+$B5*13.7837817006</f>
        <v>14783.7817006</v>
      </c>
      <c r="R5">
        <v>107</v>
      </c>
      <c r="S5">
        <v>5987</v>
      </c>
      <c r="T5">
        <v>2905456</v>
      </c>
      <c r="U5">
        <f t="shared" ref="U5:U8" si="4">SUM(R5:T5)/10^6</f>
        <v>2.9115500000000001</v>
      </c>
      <c r="V5">
        <v>103</v>
      </c>
      <c r="W5">
        <v>493</v>
      </c>
      <c r="X5">
        <v>59202</v>
      </c>
      <c r="Y5">
        <f t="shared" ref="Y5:Y8" si="5">SUM(V5:X5)/10^6</f>
        <v>5.9797999999999997E-2</v>
      </c>
      <c r="Z5">
        <v>100</v>
      </c>
      <c r="AA5">
        <v>4630</v>
      </c>
      <c r="AB5">
        <v>1336435</v>
      </c>
      <c r="AC5">
        <f t="shared" ref="AC5:AC8" si="6">SUM(Z5:AB5)/10^6</f>
        <v>1.3411649999999999</v>
      </c>
      <c r="AD5">
        <v>103</v>
      </c>
      <c r="AE5">
        <v>839</v>
      </c>
      <c r="AF5">
        <v>17322</v>
      </c>
      <c r="AG5">
        <f t="shared" ref="AG5:AG8" si="7">SUM(AD5:AF5)/10^6</f>
        <v>1.8263999999999999E-2</v>
      </c>
    </row>
    <row r="6" spans="1:33">
      <c r="A6">
        <v>10000</v>
      </c>
      <c r="B6">
        <v>1000</v>
      </c>
      <c r="C6" t="s">
        <v>13</v>
      </c>
      <c r="D6">
        <v>0.1</v>
      </c>
      <c r="E6" cm="1">
        <f t="array" ref="E6">10^{-12}</f>
        <v>9.9999999999999998E-13</v>
      </c>
      <c r="F6">
        <v>1</v>
      </c>
      <c r="G6" cm="1">
        <f t="array" ref="G6">10^{-12}</f>
        <v>9.9999999999999998E-13</v>
      </c>
      <c r="H6">
        <v>34538777</v>
      </c>
      <c r="I6" s="2">
        <f>A6+H6</f>
        <v>34548777</v>
      </c>
      <c r="J6">
        <f t="shared" si="0"/>
        <v>1084000</v>
      </c>
      <c r="K6">
        <f t="shared" si="1"/>
        <v>50000</v>
      </c>
      <c r="L6">
        <f t="shared" si="2"/>
        <v>577000.00000300002</v>
      </c>
      <c r="M6">
        <f t="shared" si="3"/>
        <v>23783.7817006</v>
      </c>
      <c r="R6">
        <v>931</v>
      </c>
      <c r="S6">
        <v>5984</v>
      </c>
      <c r="T6">
        <v>2913882</v>
      </c>
      <c r="U6">
        <f t="shared" si="4"/>
        <v>2.9207969999999999</v>
      </c>
      <c r="V6">
        <v>945</v>
      </c>
      <c r="W6">
        <v>503</v>
      </c>
      <c r="X6">
        <v>74999</v>
      </c>
      <c r="Y6">
        <f t="shared" si="5"/>
        <v>7.6447000000000001E-2</v>
      </c>
      <c r="Z6">
        <v>922</v>
      </c>
      <c r="AA6">
        <v>4638</v>
      </c>
      <c r="AB6">
        <v>1372935</v>
      </c>
      <c r="AC6">
        <f t="shared" si="6"/>
        <v>1.378495</v>
      </c>
      <c r="AD6">
        <v>914</v>
      </c>
      <c r="AE6">
        <v>859</v>
      </c>
      <c r="AF6">
        <v>30747</v>
      </c>
      <c r="AG6">
        <f t="shared" si="7"/>
        <v>3.252E-2</v>
      </c>
    </row>
    <row r="7" spans="1:33">
      <c r="A7">
        <v>100000</v>
      </c>
      <c r="B7">
        <v>1000</v>
      </c>
      <c r="C7" t="s">
        <v>13</v>
      </c>
      <c r="D7">
        <v>0.1</v>
      </c>
      <c r="E7" cm="1">
        <f t="array" ref="E7">10^{-12}</f>
        <v>9.9999999999999998E-13</v>
      </c>
      <c r="F7">
        <v>1</v>
      </c>
      <c r="G7" cm="1">
        <f t="array" ref="G7">10^{-12}</f>
        <v>9.9999999999999998E-13</v>
      </c>
      <c r="H7">
        <v>34538777</v>
      </c>
      <c r="I7" s="2">
        <f>A7+H7</f>
        <v>34638777</v>
      </c>
      <c r="J7">
        <f t="shared" si="0"/>
        <v>1174000</v>
      </c>
      <c r="K7">
        <f t="shared" si="1"/>
        <v>140000</v>
      </c>
      <c r="L7">
        <f t="shared" si="2"/>
        <v>667000.00000300002</v>
      </c>
      <c r="M7">
        <f t="shared" si="3"/>
        <v>113783.7817006</v>
      </c>
      <c r="R7">
        <v>9229</v>
      </c>
      <c r="S7">
        <v>5994</v>
      </c>
      <c r="T7">
        <v>3213711</v>
      </c>
      <c r="U7">
        <f t="shared" si="4"/>
        <v>3.2289340000000002</v>
      </c>
      <c r="V7">
        <v>9119</v>
      </c>
      <c r="W7">
        <v>539</v>
      </c>
      <c r="X7">
        <v>248961</v>
      </c>
      <c r="Y7">
        <f t="shared" si="5"/>
        <v>0.25861899999999999</v>
      </c>
      <c r="Z7">
        <v>9265</v>
      </c>
      <c r="AA7">
        <v>4677</v>
      </c>
      <c r="AB7">
        <v>1644093</v>
      </c>
      <c r="AC7">
        <f t="shared" si="6"/>
        <v>1.6580349999999999</v>
      </c>
      <c r="AD7">
        <v>9116</v>
      </c>
      <c r="AE7">
        <v>913</v>
      </c>
      <c r="AF7">
        <v>194605</v>
      </c>
      <c r="AG7">
        <f t="shared" si="7"/>
        <v>0.20463400000000001</v>
      </c>
    </row>
    <row r="8" spans="1:33">
      <c r="A8">
        <v>1000000</v>
      </c>
      <c r="B8">
        <v>1000</v>
      </c>
      <c r="C8" t="s">
        <v>13</v>
      </c>
      <c r="D8">
        <v>0.1</v>
      </c>
      <c r="E8" cm="1">
        <f t="array" ref="E8">10^{-12}</f>
        <v>9.9999999999999998E-13</v>
      </c>
      <c r="F8">
        <v>1</v>
      </c>
      <c r="G8" cm="1">
        <f t="array" ref="G8">10^{-12}</f>
        <v>9.9999999999999998E-13</v>
      </c>
      <c r="H8">
        <v>34538777</v>
      </c>
      <c r="I8" s="2">
        <f>A8+H8</f>
        <v>35538777</v>
      </c>
      <c r="J8">
        <f t="shared" si="0"/>
        <v>2074000</v>
      </c>
      <c r="K8">
        <f t="shared" si="1"/>
        <v>1040000</v>
      </c>
      <c r="L8">
        <f t="shared" si="2"/>
        <v>1567000.000003</v>
      </c>
      <c r="M8">
        <f t="shared" si="3"/>
        <v>1013783.7817006001</v>
      </c>
      <c r="R8">
        <v>91566</v>
      </c>
      <c r="S8">
        <v>6526</v>
      </c>
      <c r="T8">
        <v>6288719</v>
      </c>
      <c r="U8">
        <f t="shared" si="4"/>
        <v>6.3868109999999998</v>
      </c>
      <c r="V8">
        <v>90786</v>
      </c>
      <c r="W8">
        <v>1048</v>
      </c>
      <c r="X8">
        <v>2650309</v>
      </c>
      <c r="Y8">
        <f t="shared" si="5"/>
        <v>2.742143</v>
      </c>
      <c r="Z8">
        <v>91055</v>
      </c>
      <c r="AA8">
        <v>5148</v>
      </c>
      <c r="AB8">
        <v>4549015</v>
      </c>
      <c r="AC8">
        <f t="shared" si="6"/>
        <v>4.6452179999999998</v>
      </c>
      <c r="AD8">
        <v>90164</v>
      </c>
      <c r="AE8">
        <v>1397</v>
      </c>
      <c r="AF8">
        <v>2647794</v>
      </c>
      <c r="AG8">
        <f t="shared" si="7"/>
        <v>2.7393550000000002</v>
      </c>
    </row>
    <row r="10" spans="1:33">
      <c r="A10" s="1" t="s">
        <v>22</v>
      </c>
    </row>
    <row r="11" spans="1:33">
      <c r="H11" t="s">
        <v>0</v>
      </c>
      <c r="I11" t="s">
        <v>0</v>
      </c>
      <c r="J11" t="s">
        <v>10</v>
      </c>
      <c r="K11" t="s">
        <v>12</v>
      </c>
      <c r="L11" t="s">
        <v>2</v>
      </c>
      <c r="M11" t="s">
        <v>4</v>
      </c>
    </row>
    <row r="12" spans="1:33">
      <c r="A12" t="s">
        <v>5</v>
      </c>
      <c r="B12" t="s">
        <v>6</v>
      </c>
      <c r="C12" t="s">
        <v>14</v>
      </c>
      <c r="D12" t="s">
        <v>7</v>
      </c>
      <c r="E12" t="s">
        <v>3</v>
      </c>
      <c r="F12" t="s">
        <v>8</v>
      </c>
      <c r="G12" t="s">
        <v>9</v>
      </c>
      <c r="H12" t="s">
        <v>1</v>
      </c>
      <c r="I12" t="s">
        <v>11</v>
      </c>
      <c r="J12" t="s">
        <v>11</v>
      </c>
      <c r="K12" t="s">
        <v>11</v>
      </c>
      <c r="L12" t="s">
        <v>11</v>
      </c>
      <c r="M12" t="s">
        <v>11</v>
      </c>
    </row>
    <row r="13" spans="1:33">
      <c r="A13">
        <v>1000</v>
      </c>
      <c r="B13">
        <v>100</v>
      </c>
      <c r="C13" t="s">
        <v>13</v>
      </c>
      <c r="D13">
        <v>0.1</v>
      </c>
      <c r="E13" cm="1">
        <f t="array" ref="E13">10^{-12}</f>
        <v>9.9999999999999998E-13</v>
      </c>
      <c r="F13">
        <v>1</v>
      </c>
      <c r="G13" cm="1">
        <f t="array" ref="G13">10^{-12}</f>
        <v>9.9999999999999998E-13</v>
      </c>
      <c r="H13">
        <v>3453878</v>
      </c>
      <c r="I13" s="2">
        <f>A13+H13</f>
        <v>3454878</v>
      </c>
      <c r="J13">
        <f>$A13+$B13*1074</f>
        <v>108400</v>
      </c>
      <c r="K13">
        <f>$A13+$B13*40</f>
        <v>5000</v>
      </c>
      <c r="L13">
        <f t="shared" ref="L13:L14" si="8">$A13+$B13*567.000000003</f>
        <v>57700.000000299995</v>
      </c>
      <c r="M13">
        <f>$A13+$B13*13.7837817006</f>
        <v>2378.3781700600002</v>
      </c>
      <c r="R13">
        <v>104</v>
      </c>
      <c r="S13">
        <v>645</v>
      </c>
      <c r="T13">
        <v>185082</v>
      </c>
      <c r="U13">
        <f>SUM(R13:T13)/10^6</f>
        <v>0.185831</v>
      </c>
      <c r="V13">
        <v>104</v>
      </c>
      <c r="W13">
        <v>70</v>
      </c>
      <c r="X13">
        <v>4858</v>
      </c>
      <c r="Y13">
        <f>SUM(V13:X13)/10^6</f>
        <v>5.032E-3</v>
      </c>
      <c r="Z13">
        <v>103</v>
      </c>
      <c r="AA13">
        <v>523</v>
      </c>
      <c r="AB13">
        <v>87708</v>
      </c>
      <c r="AC13">
        <f>SUM(Z13:AB13)/10^6</f>
        <v>8.8333999999999996E-2</v>
      </c>
      <c r="AD13">
        <v>111</v>
      </c>
      <c r="AE13">
        <v>130</v>
      </c>
      <c r="AF13">
        <v>2040</v>
      </c>
      <c r="AG13">
        <f>SUM(AD13:AF13)/10^6</f>
        <v>2.281E-3</v>
      </c>
    </row>
    <row r="14" spans="1:33">
      <c r="A14">
        <v>1000</v>
      </c>
      <c r="B14">
        <v>1000</v>
      </c>
      <c r="C14" t="s">
        <v>13</v>
      </c>
      <c r="D14">
        <v>0.1</v>
      </c>
      <c r="E14" cm="1">
        <f t="array" ref="E14">10^{-12}</f>
        <v>9.9999999999999998E-13</v>
      </c>
      <c r="F14">
        <v>1</v>
      </c>
      <c r="G14" cm="1">
        <f t="array" ref="G14">10^{-12}</f>
        <v>9.9999999999999998E-13</v>
      </c>
      <c r="H14">
        <v>34538777</v>
      </c>
      <c r="I14" s="2">
        <f>A14+H14</f>
        <v>34539777</v>
      </c>
      <c r="J14">
        <f t="shared" ref="J14" si="9">$A14+$B14*1074</f>
        <v>1075000</v>
      </c>
      <c r="K14">
        <f>$A14+$B14*40</f>
        <v>41000</v>
      </c>
      <c r="L14">
        <f t="shared" si="8"/>
        <v>568000.00000300002</v>
      </c>
      <c r="M14">
        <f>$A14+$B14*13.7837817006</f>
        <v>14783.7817006</v>
      </c>
      <c r="R14">
        <v>104</v>
      </c>
      <c r="S14">
        <v>5959</v>
      </c>
      <c r="T14">
        <v>2867072</v>
      </c>
      <c r="U14">
        <f>SUM(R14:T14)/10^6</f>
        <v>2.873135</v>
      </c>
      <c r="V14">
        <v>100</v>
      </c>
      <c r="W14">
        <v>496</v>
      </c>
      <c r="X14">
        <v>58985</v>
      </c>
      <c r="Y14">
        <f>SUM(V14:X14)/10^6</f>
        <v>5.9581000000000002E-2</v>
      </c>
      <c r="Z14">
        <v>102</v>
      </c>
      <c r="AA14">
        <v>4623</v>
      </c>
      <c r="AB14">
        <v>1346624</v>
      </c>
      <c r="AC14">
        <f t="shared" ref="AC14:AC15" si="10">SUM(Z14:AB14)/10^6</f>
        <v>1.3513489999999999</v>
      </c>
      <c r="AD14">
        <v>114</v>
      </c>
      <c r="AE14">
        <v>877</v>
      </c>
      <c r="AF14">
        <v>17385</v>
      </c>
      <c r="AG14">
        <f t="shared" ref="AG14:AG17" si="11">SUM(AD14:AF14)/10^6</f>
        <v>1.8376E-2</v>
      </c>
    </row>
    <row r="15" spans="1:33">
      <c r="A15">
        <v>1000</v>
      </c>
      <c r="B15">
        <v>10000</v>
      </c>
      <c r="C15">
        <f t="shared" ref="C15:C17" si="12">A15</f>
        <v>1000</v>
      </c>
      <c r="D15">
        <v>0.1</v>
      </c>
      <c r="E15" cm="1">
        <f t="array" ref="E15">10^{-12}</f>
        <v>9.9999999999999998E-13</v>
      </c>
      <c r="F15">
        <v>1</v>
      </c>
      <c r="G15" cm="1">
        <f t="array" ref="G15">10^{-12}</f>
        <v>9.9999999999999998E-13</v>
      </c>
      <c r="H15">
        <v>34538777</v>
      </c>
      <c r="I15" s="2">
        <f>A15+H15</f>
        <v>34539777</v>
      </c>
      <c r="J15">
        <f>$A15+$C15*1074</f>
        <v>1075000</v>
      </c>
      <c r="K15">
        <f>$A15+$C15*40</f>
        <v>41000</v>
      </c>
      <c r="L15">
        <f>$A15+$C15*567.000000003</f>
        <v>568000.00000300002</v>
      </c>
      <c r="M15">
        <f>$A15+$C15*13.7837817006</f>
        <v>14783.7817006</v>
      </c>
      <c r="R15">
        <v>143</v>
      </c>
      <c r="S15">
        <v>5975</v>
      </c>
      <c r="T15">
        <v>2868372</v>
      </c>
      <c r="U15">
        <f t="shared" ref="U15" si="13">SUM(R15:T15)/10^6</f>
        <v>2.8744900000000002</v>
      </c>
      <c r="V15">
        <v>132</v>
      </c>
      <c r="W15">
        <v>471</v>
      </c>
      <c r="X15">
        <v>58732</v>
      </c>
      <c r="Y15">
        <f t="shared" ref="Y15" si="14">SUM(V15:X15)/10^6</f>
        <v>5.9334999999999999E-2</v>
      </c>
      <c r="Z15">
        <v>122</v>
      </c>
      <c r="AA15">
        <v>4682</v>
      </c>
      <c r="AB15">
        <v>1353742</v>
      </c>
      <c r="AC15">
        <f t="shared" si="10"/>
        <v>1.358546</v>
      </c>
      <c r="AD15">
        <v>141</v>
      </c>
      <c r="AE15">
        <v>854</v>
      </c>
      <c r="AF15">
        <v>17485</v>
      </c>
      <c r="AG15">
        <f t="shared" si="11"/>
        <v>1.848E-2</v>
      </c>
    </row>
    <row r="16" spans="1:33">
      <c r="A16">
        <v>1000</v>
      </c>
      <c r="B16">
        <v>100000</v>
      </c>
      <c r="C16">
        <f t="shared" si="12"/>
        <v>1000</v>
      </c>
      <c r="D16">
        <v>0.1</v>
      </c>
      <c r="E16" cm="1">
        <f t="array" ref="E16">10^{-12}</f>
        <v>9.9999999999999998E-13</v>
      </c>
      <c r="F16">
        <v>1</v>
      </c>
      <c r="G16" cm="1">
        <f t="array" ref="G16">10^{-12}</f>
        <v>9.9999999999999998E-13</v>
      </c>
      <c r="H16">
        <v>34538777</v>
      </c>
      <c r="I16" s="2">
        <f>A16+H16</f>
        <v>34539777</v>
      </c>
      <c r="J16">
        <f>$A16+$C16*1074</f>
        <v>1075000</v>
      </c>
      <c r="K16">
        <f t="shared" ref="K16:K17" si="15">$A16+$C16*40</f>
        <v>41000</v>
      </c>
      <c r="L16">
        <f t="shared" ref="L16:L17" si="16">$A16+$C16*567.000000003</f>
        <v>568000.00000300002</v>
      </c>
      <c r="M16">
        <f t="shared" ref="M16:M17" si="17">$A16+$C16*13.7837817006</f>
        <v>14783.7817006</v>
      </c>
      <c r="R16">
        <v>143</v>
      </c>
      <c r="S16">
        <v>5975</v>
      </c>
      <c r="T16">
        <v>2868372</v>
      </c>
      <c r="U16">
        <f t="shared" ref="U16:U17" si="18">SUM(R16:T16)/10^6</f>
        <v>2.8744900000000002</v>
      </c>
      <c r="V16">
        <v>132</v>
      </c>
      <c r="W16">
        <v>471</v>
      </c>
      <c r="X16">
        <v>58732</v>
      </c>
      <c r="Y16">
        <f t="shared" ref="Y16:Y17" si="19">SUM(V16:X16)/10^6</f>
        <v>5.9334999999999999E-2</v>
      </c>
      <c r="Z16">
        <v>122</v>
      </c>
      <c r="AA16">
        <v>4682</v>
      </c>
      <c r="AB16">
        <v>1353742</v>
      </c>
      <c r="AC16">
        <f t="shared" ref="AC16:AC17" si="20">SUM(Z16:AB16)/10^6</f>
        <v>1.358546</v>
      </c>
      <c r="AD16">
        <v>141</v>
      </c>
      <c r="AE16">
        <v>854</v>
      </c>
      <c r="AF16">
        <v>17485</v>
      </c>
      <c r="AG16">
        <f t="shared" si="11"/>
        <v>1.848E-2</v>
      </c>
    </row>
    <row r="17" spans="1:33">
      <c r="A17">
        <v>1000</v>
      </c>
      <c r="B17">
        <v>1000000</v>
      </c>
      <c r="C17">
        <f t="shared" si="12"/>
        <v>1000</v>
      </c>
      <c r="D17">
        <v>0.1</v>
      </c>
      <c r="E17" cm="1">
        <f t="array" ref="E17">10^{-12}</f>
        <v>9.9999999999999998E-13</v>
      </c>
      <c r="F17">
        <v>1</v>
      </c>
      <c r="G17" cm="1">
        <f t="array" ref="G17">10^{-12}</f>
        <v>9.9999999999999998E-13</v>
      </c>
      <c r="H17">
        <v>34538777</v>
      </c>
      <c r="I17" s="2">
        <f>A17+H17</f>
        <v>34539777</v>
      </c>
      <c r="J17">
        <f>$A17+$C17*1074</f>
        <v>1075000</v>
      </c>
      <c r="K17">
        <f t="shared" si="15"/>
        <v>41000</v>
      </c>
      <c r="L17">
        <f t="shared" si="16"/>
        <v>568000.00000300002</v>
      </c>
      <c r="M17">
        <f t="shared" si="17"/>
        <v>14783.7817006</v>
      </c>
      <c r="R17">
        <v>143</v>
      </c>
      <c r="S17">
        <v>5975</v>
      </c>
      <c r="T17">
        <v>2868372</v>
      </c>
      <c r="U17">
        <f t="shared" si="18"/>
        <v>2.8744900000000002</v>
      </c>
      <c r="V17">
        <v>132</v>
      </c>
      <c r="W17">
        <v>471</v>
      </c>
      <c r="X17">
        <v>58732</v>
      </c>
      <c r="Y17">
        <f t="shared" si="19"/>
        <v>5.9334999999999999E-2</v>
      </c>
      <c r="Z17">
        <v>122</v>
      </c>
      <c r="AA17">
        <v>4682</v>
      </c>
      <c r="AB17">
        <v>1353742</v>
      </c>
      <c r="AC17">
        <f t="shared" si="20"/>
        <v>1.358546</v>
      </c>
      <c r="AD17">
        <v>141</v>
      </c>
      <c r="AE17">
        <v>854</v>
      </c>
      <c r="AF17">
        <v>17485</v>
      </c>
      <c r="AG17">
        <f t="shared" si="11"/>
        <v>1.848E-2</v>
      </c>
    </row>
    <row r="19" spans="1:33">
      <c r="A19" s="1" t="s">
        <v>30</v>
      </c>
    </row>
    <row r="20" spans="1:33">
      <c r="H20" t="s">
        <v>0</v>
      </c>
      <c r="I20" t="s">
        <v>0</v>
      </c>
      <c r="J20" t="s">
        <v>10</v>
      </c>
      <c r="K20" t="s">
        <v>12</v>
      </c>
      <c r="L20" t="s">
        <v>2</v>
      </c>
      <c r="M20" t="s">
        <v>4</v>
      </c>
    </row>
    <row r="21" spans="1:33">
      <c r="A21" t="s">
        <v>5</v>
      </c>
      <c r="B21" t="s">
        <v>6</v>
      </c>
      <c r="C21" t="s">
        <v>14</v>
      </c>
      <c r="D21" t="s">
        <v>7</v>
      </c>
      <c r="E21" t="s">
        <v>3</v>
      </c>
      <c r="F21" t="s">
        <v>8</v>
      </c>
      <c r="G21" t="s">
        <v>9</v>
      </c>
      <c r="H21" t="s">
        <v>1</v>
      </c>
      <c r="I21" t="s">
        <v>11</v>
      </c>
      <c r="J21" t="s">
        <v>11</v>
      </c>
      <c r="K21" t="s">
        <v>11</v>
      </c>
      <c r="L21" t="s">
        <v>11</v>
      </c>
      <c r="M21" t="s">
        <v>11</v>
      </c>
    </row>
    <row r="22" spans="1:33">
      <c r="A22">
        <v>1000</v>
      </c>
      <c r="B22">
        <v>100</v>
      </c>
      <c r="C22" t="s">
        <v>13</v>
      </c>
      <c r="D22">
        <v>0.1</v>
      </c>
      <c r="E22" cm="1">
        <f t="array" ref="E22">10^{-12}</f>
        <v>9.9999999999999998E-13</v>
      </c>
      <c r="F22">
        <v>1</v>
      </c>
      <c r="G22" cm="1">
        <f t="array" ref="G22">10^{-12}</f>
        <v>9.9999999999999998E-13</v>
      </c>
      <c r="H22">
        <v>3453878</v>
      </c>
      <c r="I22" s="2">
        <f>A22+H22</f>
        <v>3454878</v>
      </c>
      <c r="J22">
        <f>$A22+$B22*1074</f>
        <v>108400</v>
      </c>
      <c r="K22">
        <f>$A22+$B22*40</f>
        <v>5000</v>
      </c>
      <c r="L22">
        <f t="shared" ref="L22" si="21">$A22+$B22*567.000000003</f>
        <v>57700.000000299995</v>
      </c>
      <c r="M22">
        <f>$A22+$B22*13.7837817006</f>
        <v>2378.3781700600002</v>
      </c>
      <c r="N22">
        <v>112</v>
      </c>
      <c r="O22">
        <v>72801</v>
      </c>
      <c r="P22">
        <v>11600990</v>
      </c>
      <c r="Q22">
        <f t="shared" ref="Q22:Q23" si="22">SUM(N22:P22)/10^6</f>
        <v>11.673902999999999</v>
      </c>
      <c r="R22">
        <v>99</v>
      </c>
      <c r="S22">
        <v>643</v>
      </c>
      <c r="T22">
        <v>185219</v>
      </c>
      <c r="U22">
        <f>SUM(R22:T22)/10^6</f>
        <v>0.18596099999999999</v>
      </c>
      <c r="V22">
        <v>101</v>
      </c>
      <c r="W22">
        <v>67</v>
      </c>
      <c r="X22">
        <v>4827</v>
      </c>
      <c r="Y22">
        <f>SUM(V22:X22)/10^6</f>
        <v>4.9950000000000003E-3</v>
      </c>
      <c r="Z22">
        <v>99</v>
      </c>
      <c r="AA22">
        <v>505</v>
      </c>
      <c r="AB22">
        <v>86757</v>
      </c>
      <c r="AC22">
        <f>SUM(Z22:AB22)/10^6</f>
        <v>8.7360999999999994E-2</v>
      </c>
      <c r="AD22">
        <v>100</v>
      </c>
      <c r="AE22">
        <v>128</v>
      </c>
      <c r="AF22">
        <v>2019</v>
      </c>
      <c r="AG22">
        <f>SUM(AD22:AF22)/10^6</f>
        <v>2.2469999999999999E-3</v>
      </c>
    </row>
    <row r="23" spans="1:33">
      <c r="A23">
        <v>1000</v>
      </c>
      <c r="B23">
        <v>1000</v>
      </c>
      <c r="C23">
        <f>A23/10</f>
        <v>100</v>
      </c>
      <c r="D23">
        <v>0.1</v>
      </c>
      <c r="E23" cm="1">
        <f t="array" ref="E23">10^{-12}</f>
        <v>9.9999999999999998E-13</v>
      </c>
      <c r="F23">
        <v>1</v>
      </c>
      <c r="G23" cm="1">
        <f t="array" ref="G23">10^{-12}</f>
        <v>9.9999999999999998E-13</v>
      </c>
      <c r="H23">
        <v>3453878</v>
      </c>
      <c r="I23" s="2">
        <f>A23+H23</f>
        <v>3454878</v>
      </c>
      <c r="J23">
        <f>$A23+$C23*1074</f>
        <v>108400</v>
      </c>
      <c r="K23">
        <f>$A23+$C23*40</f>
        <v>5000</v>
      </c>
      <c r="L23">
        <f>$A23+$C23*567.000000003</f>
        <v>57700.000000299995</v>
      </c>
      <c r="M23">
        <f>$A23+$C23*13.7837817006</f>
        <v>2378.3781700600002</v>
      </c>
      <c r="N23">
        <v>121</v>
      </c>
      <c r="O23">
        <v>72750</v>
      </c>
      <c r="P23">
        <v>11721441</v>
      </c>
      <c r="Q23">
        <f t="shared" si="22"/>
        <v>11.794312</v>
      </c>
      <c r="R23">
        <v>119</v>
      </c>
      <c r="S23">
        <v>619</v>
      </c>
      <c r="T23">
        <v>190642</v>
      </c>
      <c r="U23">
        <f>SUM(R23:T23)/10^6</f>
        <v>0.19137999999999999</v>
      </c>
      <c r="V23">
        <v>126</v>
      </c>
      <c r="W23">
        <v>83</v>
      </c>
      <c r="X23">
        <v>4963</v>
      </c>
      <c r="Y23">
        <f>SUM(V23:X23)/10^6</f>
        <v>5.1720000000000004E-3</v>
      </c>
      <c r="Z23">
        <v>128</v>
      </c>
      <c r="AA23">
        <v>492</v>
      </c>
      <c r="AB23">
        <v>88193</v>
      </c>
      <c r="AC23">
        <f>SUM(Z23:AB23)/10^6</f>
        <v>8.8813000000000003E-2</v>
      </c>
      <c r="AD23">
        <v>142</v>
      </c>
      <c r="AE23">
        <v>104</v>
      </c>
      <c r="AF23">
        <v>2001</v>
      </c>
      <c r="AG23">
        <f>SUM(AD23:AF23)/10^6</f>
        <v>2.2469999999999999E-3</v>
      </c>
    </row>
    <row r="24" spans="1:33">
      <c r="A24">
        <v>1000</v>
      </c>
      <c r="B24">
        <v>10000</v>
      </c>
      <c r="C24">
        <f>A24/10</f>
        <v>100</v>
      </c>
      <c r="D24">
        <v>0.1</v>
      </c>
      <c r="E24" cm="1">
        <f t="array" ref="E24">10^{-12}</f>
        <v>9.9999999999999998E-13</v>
      </c>
      <c r="F24">
        <v>1</v>
      </c>
      <c r="G24" cm="1">
        <f t="array" ref="G24">10^{-12}</f>
        <v>9.9999999999999998E-13</v>
      </c>
      <c r="H24">
        <v>3453878</v>
      </c>
      <c r="I24" s="2">
        <f>A24+H24</f>
        <v>3454878</v>
      </c>
      <c r="J24">
        <f>$A24+$C24*1074</f>
        <v>108400</v>
      </c>
      <c r="K24">
        <f>$A24+$C24*40</f>
        <v>5000</v>
      </c>
      <c r="L24">
        <f t="shared" ref="L24:L26" si="23">$A24+$C24*567.000000003</f>
        <v>57700.000000299995</v>
      </c>
      <c r="M24">
        <f t="shared" ref="M24:M25" si="24">$A24+$C24*13.7837817006</f>
        <v>2378.3781700600002</v>
      </c>
      <c r="N24">
        <v>121</v>
      </c>
      <c r="O24">
        <v>72750</v>
      </c>
      <c r="P24">
        <v>11721441</v>
      </c>
      <c r="Q24">
        <f t="shared" ref="Q24:Q26" si="25">SUM(N24:P24)/10^6</f>
        <v>11.794312</v>
      </c>
      <c r="R24">
        <v>119</v>
      </c>
      <c r="S24">
        <v>619</v>
      </c>
      <c r="T24">
        <v>190642</v>
      </c>
      <c r="U24">
        <f t="shared" ref="U24:U26" si="26">SUM(R24:T24)/10^6</f>
        <v>0.19137999999999999</v>
      </c>
      <c r="V24">
        <v>126</v>
      </c>
      <c r="W24">
        <v>83</v>
      </c>
      <c r="X24">
        <v>4963</v>
      </c>
      <c r="Y24">
        <f t="shared" ref="Y24:Y26" si="27">SUM(V24:X24)/10^6</f>
        <v>5.1720000000000004E-3</v>
      </c>
      <c r="Z24">
        <v>128</v>
      </c>
      <c r="AA24">
        <v>492</v>
      </c>
      <c r="AB24">
        <v>88193</v>
      </c>
      <c r="AC24">
        <f t="shared" ref="AC24:AC26" si="28">SUM(Z24:AB24)/10^6</f>
        <v>8.8813000000000003E-2</v>
      </c>
      <c r="AD24">
        <v>142</v>
      </c>
      <c r="AE24">
        <v>104</v>
      </c>
      <c r="AF24">
        <v>2001</v>
      </c>
      <c r="AG24">
        <f t="shared" ref="AG24:AG26" si="29">SUM(AD24:AF24)/10^6</f>
        <v>2.2469999999999999E-3</v>
      </c>
    </row>
    <row r="25" spans="1:33">
      <c r="A25">
        <v>1000</v>
      </c>
      <c r="B25">
        <v>100000</v>
      </c>
      <c r="C25">
        <f t="shared" ref="C25:C26" si="30">A25/10</f>
        <v>100</v>
      </c>
      <c r="D25">
        <v>0.1</v>
      </c>
      <c r="E25" cm="1">
        <f t="array" ref="E25">10^{-12}</f>
        <v>9.9999999999999998E-13</v>
      </c>
      <c r="F25">
        <v>1</v>
      </c>
      <c r="G25" cm="1">
        <f t="array" ref="G25">10^{-12}</f>
        <v>9.9999999999999998E-13</v>
      </c>
      <c r="H25">
        <v>3453878</v>
      </c>
      <c r="I25" s="2">
        <f>A25+H25</f>
        <v>3454878</v>
      </c>
      <c r="J25">
        <f>$A25+$C25*1074</f>
        <v>108400</v>
      </c>
      <c r="K25">
        <f t="shared" ref="K25:K26" si="31">$A25+$C25*40</f>
        <v>5000</v>
      </c>
      <c r="L25">
        <f t="shared" si="23"/>
        <v>57700.000000299995</v>
      </c>
      <c r="M25">
        <f t="shared" si="24"/>
        <v>2378.3781700600002</v>
      </c>
      <c r="N25">
        <v>121</v>
      </c>
      <c r="O25">
        <v>72750</v>
      </c>
      <c r="P25">
        <v>11721441</v>
      </c>
      <c r="Q25">
        <f t="shared" si="25"/>
        <v>11.794312</v>
      </c>
      <c r="R25">
        <v>119</v>
      </c>
      <c r="S25">
        <v>619</v>
      </c>
      <c r="T25">
        <v>190642</v>
      </c>
      <c r="U25">
        <f t="shared" si="26"/>
        <v>0.19137999999999999</v>
      </c>
      <c r="V25">
        <v>126</v>
      </c>
      <c r="W25">
        <v>83</v>
      </c>
      <c r="X25">
        <v>4963</v>
      </c>
      <c r="Y25">
        <f t="shared" si="27"/>
        <v>5.1720000000000004E-3</v>
      </c>
      <c r="Z25">
        <v>128</v>
      </c>
      <c r="AA25">
        <v>492</v>
      </c>
      <c r="AB25">
        <v>88193</v>
      </c>
      <c r="AC25">
        <f t="shared" si="28"/>
        <v>8.8813000000000003E-2</v>
      </c>
      <c r="AD25">
        <v>142</v>
      </c>
      <c r="AE25">
        <v>104</v>
      </c>
      <c r="AF25">
        <v>2001</v>
      </c>
      <c r="AG25">
        <f t="shared" si="29"/>
        <v>2.2469999999999999E-3</v>
      </c>
    </row>
    <row r="26" spans="1:33">
      <c r="A26">
        <v>1000</v>
      </c>
      <c r="B26">
        <v>1000000</v>
      </c>
      <c r="C26">
        <f t="shared" si="30"/>
        <v>100</v>
      </c>
      <c r="D26">
        <v>0.1</v>
      </c>
      <c r="E26" cm="1">
        <f t="array" ref="E26">10^{-12}</f>
        <v>9.9999999999999998E-13</v>
      </c>
      <c r="F26">
        <v>1</v>
      </c>
      <c r="G26" cm="1">
        <f t="array" ref="G26">10^{-12}</f>
        <v>9.9999999999999998E-13</v>
      </c>
      <c r="H26">
        <v>3453878</v>
      </c>
      <c r="I26" s="2">
        <f>A26+H26</f>
        <v>3454878</v>
      </c>
      <c r="J26">
        <f>$A26+$C26*1074</f>
        <v>108400</v>
      </c>
      <c r="K26">
        <f t="shared" si="31"/>
        <v>5000</v>
      </c>
      <c r="L26">
        <f t="shared" si="23"/>
        <v>57700.000000299995</v>
      </c>
      <c r="M26">
        <f>$A26+$C26*13.7837817006</f>
        <v>2378.3781700600002</v>
      </c>
      <c r="N26">
        <v>121</v>
      </c>
      <c r="O26">
        <v>72750</v>
      </c>
      <c r="P26">
        <v>11721441</v>
      </c>
      <c r="Q26">
        <f t="shared" si="25"/>
        <v>11.794312</v>
      </c>
      <c r="R26">
        <v>119</v>
      </c>
      <c r="S26">
        <v>619</v>
      </c>
      <c r="T26">
        <v>190642</v>
      </c>
      <c r="U26">
        <f t="shared" si="26"/>
        <v>0.19137999999999999</v>
      </c>
      <c r="V26">
        <v>126</v>
      </c>
      <c r="W26">
        <v>83</v>
      </c>
      <c r="X26">
        <v>4963</v>
      </c>
      <c r="Y26">
        <f t="shared" si="27"/>
        <v>5.1720000000000004E-3</v>
      </c>
      <c r="Z26">
        <v>128</v>
      </c>
      <c r="AA26">
        <v>492</v>
      </c>
      <c r="AB26">
        <v>88193</v>
      </c>
      <c r="AC26">
        <f t="shared" si="28"/>
        <v>8.8813000000000003E-2</v>
      </c>
      <c r="AD26">
        <v>142</v>
      </c>
      <c r="AE26">
        <v>104</v>
      </c>
      <c r="AF26">
        <v>2001</v>
      </c>
      <c r="AG26">
        <f t="shared" si="29"/>
        <v>2.2469999999999999E-3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6C592-7914-4A5B-BADA-CADD8C0D8ABA}">
  <dimension ref="A1:AG26"/>
  <sheetViews>
    <sheetView zoomScale="85" zoomScaleNormal="85" workbookViewId="0"/>
  </sheetViews>
  <sheetFormatPr defaultRowHeight="17.649999999999999"/>
  <cols>
    <col min="3" max="3" width="11.625" bestFit="1" customWidth="1"/>
    <col min="4" max="4" width="12.1875" bestFit="1" customWidth="1"/>
    <col min="5" max="5" width="14.1875" bestFit="1" customWidth="1"/>
    <col min="6" max="6" width="14.75" bestFit="1" customWidth="1"/>
    <col min="7" max="7" width="12.625" bestFit="1" customWidth="1"/>
    <col min="8" max="8" width="14" bestFit="1" customWidth="1"/>
    <col min="9" max="11" width="14.625" bestFit="1" customWidth="1"/>
    <col min="12" max="13" width="20.4375" bestFit="1" customWidth="1"/>
    <col min="14" max="14" width="8.4375" customWidth="1"/>
    <col min="15" max="15" width="6.8125" bestFit="1" customWidth="1"/>
    <col min="16" max="16" width="9.9375" bestFit="1" customWidth="1"/>
    <col min="17" max="17" width="10.9375" bestFit="1" customWidth="1"/>
    <col min="18" max="18" width="14.3125" customWidth="1"/>
    <col min="19" max="19" width="6.6875" customWidth="1"/>
    <col min="20" max="20" width="8.9375" bestFit="1" customWidth="1"/>
    <col min="21" max="21" width="9.9375" bestFit="1" customWidth="1"/>
    <col min="22" max="22" width="14.1875" bestFit="1" customWidth="1"/>
    <col min="23" max="23" width="6.6875" bestFit="1" customWidth="1"/>
    <col min="25" max="25" width="9.9375" bestFit="1" customWidth="1"/>
    <col min="26" max="26" width="15.3125" bestFit="1" customWidth="1"/>
    <col min="27" max="27" width="6.6875" bestFit="1" customWidth="1"/>
    <col min="28" max="28" width="8.9375" bestFit="1" customWidth="1"/>
    <col min="29" max="29" width="9.9375" bestFit="1" customWidth="1"/>
    <col min="30" max="30" width="15.3125" bestFit="1" customWidth="1"/>
    <col min="33" max="33" width="9.9375" bestFit="1" customWidth="1"/>
  </cols>
  <sheetData>
    <row r="1" spans="1:33">
      <c r="A1" s="1" t="s">
        <v>21</v>
      </c>
      <c r="N1" t="s">
        <v>23</v>
      </c>
    </row>
    <row r="2" spans="1:33">
      <c r="H2" t="s">
        <v>0</v>
      </c>
      <c r="I2" t="s">
        <v>0</v>
      </c>
      <c r="J2" t="s">
        <v>10</v>
      </c>
      <c r="K2" t="s">
        <v>12</v>
      </c>
      <c r="L2" t="s">
        <v>2</v>
      </c>
      <c r="M2" t="s">
        <v>4</v>
      </c>
      <c r="N2" t="s">
        <v>0</v>
      </c>
      <c r="R2" t="s">
        <v>10</v>
      </c>
      <c r="V2" t="s">
        <v>12</v>
      </c>
      <c r="Z2" t="s">
        <v>2</v>
      </c>
      <c r="AD2" t="s">
        <v>4</v>
      </c>
    </row>
    <row r="3" spans="1:33">
      <c r="A3" t="s">
        <v>5</v>
      </c>
      <c r="B3" t="s">
        <v>6</v>
      </c>
      <c r="C3" t="s">
        <v>14</v>
      </c>
      <c r="D3" t="s">
        <v>7</v>
      </c>
      <c r="E3" t="s">
        <v>3</v>
      </c>
      <c r="F3" t="s">
        <v>8</v>
      </c>
      <c r="G3" t="s">
        <v>9</v>
      </c>
      <c r="H3" t="s">
        <v>1</v>
      </c>
      <c r="I3" t="s">
        <v>11</v>
      </c>
      <c r="J3" t="s">
        <v>11</v>
      </c>
      <c r="K3" t="s">
        <v>11</v>
      </c>
      <c r="L3" t="s">
        <v>11</v>
      </c>
      <c r="M3" t="s">
        <v>11</v>
      </c>
      <c r="N3" t="s">
        <v>15</v>
      </c>
      <c r="O3" t="s">
        <v>16</v>
      </c>
      <c r="P3" t="s">
        <v>17</v>
      </c>
      <c r="Q3" t="s">
        <v>19</v>
      </c>
      <c r="R3" t="s">
        <v>18</v>
      </c>
      <c r="S3" t="s">
        <v>16</v>
      </c>
      <c r="T3" t="s">
        <v>17</v>
      </c>
      <c r="U3" t="s">
        <v>19</v>
      </c>
      <c r="V3" t="s">
        <v>18</v>
      </c>
      <c r="W3" t="s">
        <v>16</v>
      </c>
      <c r="X3" t="s">
        <v>17</v>
      </c>
      <c r="Y3" t="s">
        <v>19</v>
      </c>
      <c r="Z3" t="s">
        <v>18</v>
      </c>
      <c r="AA3" t="s">
        <v>16</v>
      </c>
      <c r="AB3" t="s">
        <v>17</v>
      </c>
      <c r="AC3" t="s">
        <v>19</v>
      </c>
      <c r="AD3" t="s">
        <v>18</v>
      </c>
      <c r="AE3" t="s">
        <v>16</v>
      </c>
      <c r="AF3" t="s">
        <v>17</v>
      </c>
      <c r="AG3" t="s">
        <v>19</v>
      </c>
    </row>
    <row r="4" spans="1:33">
      <c r="A4">
        <v>100</v>
      </c>
      <c r="B4">
        <v>1000</v>
      </c>
      <c r="C4" t="s">
        <v>13</v>
      </c>
      <c r="D4">
        <v>0.1</v>
      </c>
      <c r="E4" cm="1">
        <f t="array" ref="E4">10^{-12}</f>
        <v>9.9999999999999998E-13</v>
      </c>
      <c r="F4">
        <v>1</v>
      </c>
      <c r="G4" cm="1">
        <f t="array" ref="G4">10^{-12}</f>
        <v>9.9999999999999998E-13</v>
      </c>
      <c r="H4">
        <v>34538777</v>
      </c>
      <c r="I4" s="2">
        <f>A4+H4</f>
        <v>34538877</v>
      </c>
      <c r="J4">
        <f>$A4+$B4*1074</f>
        <v>1074100</v>
      </c>
      <c r="K4">
        <f>$A4+$B4*40</f>
        <v>40100</v>
      </c>
      <c r="L4">
        <f>$A4+$B4*567.000000003</f>
        <v>567100.00000300002</v>
      </c>
      <c r="M4">
        <f>$A4+$B4*13.7837817006</f>
        <v>13883.7817006</v>
      </c>
      <c r="R4">
        <v>21</v>
      </c>
      <c r="S4">
        <v>6035</v>
      </c>
      <c r="T4">
        <v>11715909</v>
      </c>
      <c r="U4">
        <f>SUM(R4:T4)/10^6</f>
        <v>11.721965000000001</v>
      </c>
      <c r="V4">
        <v>26</v>
      </c>
      <c r="W4">
        <v>479</v>
      </c>
      <c r="X4">
        <v>226217</v>
      </c>
      <c r="Y4">
        <f>SUM(V4:X4)/10^6</f>
        <v>0.22672200000000001</v>
      </c>
      <c r="Z4">
        <v>34</v>
      </c>
      <c r="AA4">
        <v>4653</v>
      </c>
      <c r="AB4">
        <v>5406892</v>
      </c>
      <c r="AC4">
        <f>SUM(Z4:AB4)/10^6</f>
        <v>5.4115789999999997</v>
      </c>
      <c r="AD4">
        <v>27</v>
      </c>
      <c r="AE4">
        <v>858</v>
      </c>
      <c r="AF4">
        <v>63450</v>
      </c>
      <c r="AG4">
        <f>SUM(AD4:AF4)/10^6</f>
        <v>6.4335000000000003E-2</v>
      </c>
    </row>
    <row r="5" spans="1:33">
      <c r="A5">
        <v>1000</v>
      </c>
      <c r="B5">
        <v>1000</v>
      </c>
      <c r="C5" t="s">
        <v>13</v>
      </c>
      <c r="D5">
        <v>0.1</v>
      </c>
      <c r="E5" cm="1">
        <f t="array" ref="E5">10^{-12}</f>
        <v>9.9999999999999998E-13</v>
      </c>
      <c r="F5">
        <v>1</v>
      </c>
      <c r="G5" cm="1">
        <f t="array" ref="G5">10^{-12}</f>
        <v>9.9999999999999998E-13</v>
      </c>
      <c r="H5">
        <v>34538777</v>
      </c>
      <c r="I5" s="2">
        <f>A5+H5</f>
        <v>34539777</v>
      </c>
      <c r="J5">
        <f t="shared" ref="J5:J8" si="0">$A5+$B5*1074</f>
        <v>1075000</v>
      </c>
      <c r="K5">
        <f t="shared" ref="K5:K8" si="1">$A5+$B5*40</f>
        <v>41000</v>
      </c>
      <c r="L5">
        <f t="shared" ref="L5:L8" si="2">$A5+$B5*567.000000003</f>
        <v>568000.00000300002</v>
      </c>
      <c r="M5">
        <f t="shared" ref="M5:M8" si="3">$A5+$B5*13.7837817006</f>
        <v>14783.7817006</v>
      </c>
      <c r="R5">
        <v>103</v>
      </c>
      <c r="S5">
        <v>6028</v>
      </c>
      <c r="T5">
        <v>11729171</v>
      </c>
      <c r="U5">
        <f t="shared" ref="U5:U8" si="4">SUM(R5:T5)/10^6</f>
        <v>11.735302000000001</v>
      </c>
      <c r="V5">
        <v>110</v>
      </c>
      <c r="W5">
        <v>465</v>
      </c>
      <c r="X5">
        <v>230898</v>
      </c>
      <c r="Y5">
        <f t="shared" ref="Y5:Y8" si="5">SUM(V5:X5)/10^6</f>
        <v>0.23147300000000001</v>
      </c>
      <c r="Z5">
        <v>110</v>
      </c>
      <c r="AA5">
        <v>4576</v>
      </c>
      <c r="AB5">
        <v>5397614</v>
      </c>
      <c r="AC5">
        <f t="shared" ref="AC5:AC8" si="6">SUM(Z5:AB5)/10^6</f>
        <v>5.4023000000000003</v>
      </c>
      <c r="AD5">
        <v>109</v>
      </c>
      <c r="AE5">
        <v>840</v>
      </c>
      <c r="AF5">
        <v>68150</v>
      </c>
      <c r="AG5">
        <f t="shared" ref="AG5:AG8" si="7">SUM(AD5:AF5)/10^6</f>
        <v>6.9098999999999994E-2</v>
      </c>
    </row>
    <row r="6" spans="1:33">
      <c r="A6">
        <v>10000</v>
      </c>
      <c r="B6">
        <v>1000</v>
      </c>
      <c r="C6" t="s">
        <v>13</v>
      </c>
      <c r="D6">
        <v>0.1</v>
      </c>
      <c r="E6" cm="1">
        <f t="array" ref="E6">10^{-12}</f>
        <v>9.9999999999999998E-13</v>
      </c>
      <c r="F6">
        <v>1</v>
      </c>
      <c r="G6" cm="1">
        <f t="array" ref="G6">10^{-12}</f>
        <v>9.9999999999999998E-13</v>
      </c>
      <c r="H6">
        <v>34538777</v>
      </c>
      <c r="I6" s="2">
        <f>A6+H6</f>
        <v>34548777</v>
      </c>
      <c r="J6">
        <f t="shared" si="0"/>
        <v>1084000</v>
      </c>
      <c r="K6">
        <f t="shared" si="1"/>
        <v>50000</v>
      </c>
      <c r="L6">
        <f t="shared" si="2"/>
        <v>577000.00000300002</v>
      </c>
      <c r="M6">
        <f t="shared" si="3"/>
        <v>23783.7817006</v>
      </c>
      <c r="R6">
        <v>932</v>
      </c>
      <c r="S6">
        <v>5971</v>
      </c>
      <c r="T6">
        <v>11830695</v>
      </c>
      <c r="U6">
        <f t="shared" si="4"/>
        <v>11.837598</v>
      </c>
      <c r="V6">
        <v>947</v>
      </c>
      <c r="W6">
        <v>489</v>
      </c>
      <c r="X6">
        <v>289165</v>
      </c>
      <c r="Y6">
        <f t="shared" si="5"/>
        <v>0.290601</v>
      </c>
      <c r="Z6">
        <v>910</v>
      </c>
      <c r="AA6">
        <v>4642</v>
      </c>
      <c r="AB6">
        <v>5452755</v>
      </c>
      <c r="AC6">
        <f t="shared" si="6"/>
        <v>5.4583069999999996</v>
      </c>
      <c r="AD6">
        <v>978</v>
      </c>
      <c r="AE6">
        <v>869</v>
      </c>
      <c r="AF6">
        <v>120613</v>
      </c>
      <c r="AG6">
        <f t="shared" si="7"/>
        <v>0.12246</v>
      </c>
    </row>
    <row r="7" spans="1:33">
      <c r="A7">
        <v>100000</v>
      </c>
      <c r="B7">
        <v>1000</v>
      </c>
      <c r="C7" t="s">
        <v>13</v>
      </c>
      <c r="D7">
        <v>0.1</v>
      </c>
      <c r="E7" cm="1">
        <f t="array" ref="E7">10^{-12}</f>
        <v>9.9999999999999998E-13</v>
      </c>
      <c r="F7">
        <v>1</v>
      </c>
      <c r="G7" cm="1">
        <f t="array" ref="G7">10^{-12}</f>
        <v>9.9999999999999998E-13</v>
      </c>
      <c r="H7">
        <v>34538777</v>
      </c>
      <c r="I7" s="2">
        <f>A7+H7</f>
        <v>34638777</v>
      </c>
      <c r="J7">
        <f t="shared" si="0"/>
        <v>1174000</v>
      </c>
      <c r="K7">
        <f t="shared" si="1"/>
        <v>140000</v>
      </c>
      <c r="L7">
        <f t="shared" si="2"/>
        <v>667000.00000300002</v>
      </c>
      <c r="M7">
        <f t="shared" si="3"/>
        <v>113783.7817006</v>
      </c>
      <c r="R7">
        <v>9048</v>
      </c>
      <c r="S7">
        <v>6072</v>
      </c>
      <c r="T7">
        <v>13297598</v>
      </c>
      <c r="U7">
        <f t="shared" si="4"/>
        <v>13.312718</v>
      </c>
      <c r="V7">
        <v>9227</v>
      </c>
      <c r="W7">
        <v>528</v>
      </c>
      <c r="X7">
        <v>989907</v>
      </c>
      <c r="Y7">
        <f t="shared" si="5"/>
        <v>0.99966200000000005</v>
      </c>
      <c r="Z7">
        <v>9023</v>
      </c>
      <c r="AA7">
        <v>4719</v>
      </c>
      <c r="AB7">
        <v>6709783</v>
      </c>
      <c r="AC7">
        <f t="shared" si="6"/>
        <v>6.7235250000000004</v>
      </c>
      <c r="AD7">
        <v>9160</v>
      </c>
      <c r="AE7">
        <v>911</v>
      </c>
      <c r="AF7">
        <v>768532</v>
      </c>
      <c r="AG7">
        <f t="shared" si="7"/>
        <v>0.77860300000000005</v>
      </c>
    </row>
    <row r="8" spans="1:33">
      <c r="A8">
        <v>1000000</v>
      </c>
      <c r="B8">
        <v>1000</v>
      </c>
      <c r="C8" t="s">
        <v>13</v>
      </c>
      <c r="D8">
        <v>0.1</v>
      </c>
      <c r="E8" cm="1">
        <f t="array" ref="E8">10^{-12}</f>
        <v>9.9999999999999998E-13</v>
      </c>
      <c r="F8">
        <v>1</v>
      </c>
      <c r="G8" cm="1">
        <f t="array" ref="G8">10^{-12}</f>
        <v>9.9999999999999998E-13</v>
      </c>
      <c r="H8">
        <v>34538777</v>
      </c>
      <c r="I8" s="2">
        <f>A8+H8</f>
        <v>35538777</v>
      </c>
      <c r="J8">
        <f t="shared" si="0"/>
        <v>2074000</v>
      </c>
      <c r="K8">
        <f t="shared" si="1"/>
        <v>1040000</v>
      </c>
      <c r="L8">
        <f t="shared" si="2"/>
        <v>1567000.000003</v>
      </c>
      <c r="M8">
        <f t="shared" si="3"/>
        <v>1013783.7817006001</v>
      </c>
      <c r="R8">
        <v>91116</v>
      </c>
      <c r="S8">
        <v>6584</v>
      </c>
      <c r="T8">
        <v>25995338</v>
      </c>
      <c r="U8">
        <f t="shared" si="4"/>
        <v>26.093038</v>
      </c>
      <c r="V8">
        <v>92335</v>
      </c>
      <c r="W8">
        <v>1043</v>
      </c>
      <c r="X8">
        <v>11056763</v>
      </c>
      <c r="Y8">
        <f t="shared" si="5"/>
        <v>11.150141</v>
      </c>
      <c r="Z8">
        <v>90711</v>
      </c>
      <c r="AA8">
        <v>5362</v>
      </c>
      <c r="AB8">
        <v>18961150</v>
      </c>
      <c r="AC8">
        <f t="shared" si="6"/>
        <v>19.057223</v>
      </c>
      <c r="AD8">
        <v>91611</v>
      </c>
      <c r="AE8">
        <v>1342</v>
      </c>
      <c r="AF8">
        <v>10478552</v>
      </c>
      <c r="AG8">
        <f t="shared" si="7"/>
        <v>10.571505</v>
      </c>
    </row>
    <row r="10" spans="1:33">
      <c r="A10" s="1" t="s">
        <v>22</v>
      </c>
    </row>
    <row r="11" spans="1:33">
      <c r="H11" t="s">
        <v>0</v>
      </c>
      <c r="I11" t="s">
        <v>0</v>
      </c>
      <c r="J11" t="s">
        <v>10</v>
      </c>
      <c r="K11" t="s">
        <v>12</v>
      </c>
      <c r="L11" t="s">
        <v>2</v>
      </c>
      <c r="M11" t="s">
        <v>4</v>
      </c>
    </row>
    <row r="12" spans="1:33">
      <c r="A12" t="s">
        <v>5</v>
      </c>
      <c r="B12" t="s">
        <v>6</v>
      </c>
      <c r="C12" t="s">
        <v>14</v>
      </c>
      <c r="D12" t="s">
        <v>7</v>
      </c>
      <c r="E12" t="s">
        <v>3</v>
      </c>
      <c r="F12" t="s">
        <v>8</v>
      </c>
      <c r="G12" t="s">
        <v>9</v>
      </c>
      <c r="H12" t="s">
        <v>1</v>
      </c>
      <c r="I12" t="s">
        <v>11</v>
      </c>
      <c r="J12" t="s">
        <v>11</v>
      </c>
      <c r="K12" t="s">
        <v>11</v>
      </c>
      <c r="L12" t="s">
        <v>11</v>
      </c>
      <c r="M12" t="s">
        <v>11</v>
      </c>
    </row>
    <row r="13" spans="1:33">
      <c r="A13">
        <v>1000</v>
      </c>
      <c r="B13">
        <v>100</v>
      </c>
      <c r="C13" t="s">
        <v>13</v>
      </c>
      <c r="D13">
        <v>0.1</v>
      </c>
      <c r="E13" cm="1">
        <f t="array" ref="E13">10^{-12}</f>
        <v>9.9999999999999998E-13</v>
      </c>
      <c r="F13">
        <v>1</v>
      </c>
      <c r="G13" cm="1">
        <f t="array" ref="G13">10^{-12}</f>
        <v>9.9999999999999998E-13</v>
      </c>
      <c r="H13">
        <v>3453878</v>
      </c>
      <c r="I13" s="2">
        <f>A13+H13</f>
        <v>3454878</v>
      </c>
      <c r="J13">
        <f>$A13+$B13*1074</f>
        <v>108400</v>
      </c>
      <c r="K13">
        <f>$A13+$B13*40</f>
        <v>5000</v>
      </c>
      <c r="L13">
        <f t="shared" ref="L13:L14" si="8">$A13+$B13*567.000000003</f>
        <v>57700.000000299995</v>
      </c>
      <c r="M13">
        <f>$A13+$B13*13.7837817006</f>
        <v>2378.3781700600002</v>
      </c>
      <c r="R13">
        <v>100</v>
      </c>
      <c r="S13">
        <v>618</v>
      </c>
      <c r="T13">
        <v>736701</v>
      </c>
      <c r="U13">
        <f>SUM(R13:T13)/10^6</f>
        <v>0.73741900000000005</v>
      </c>
      <c r="V13">
        <v>110</v>
      </c>
      <c r="W13">
        <v>76</v>
      </c>
      <c r="X13">
        <v>19116</v>
      </c>
      <c r="Y13">
        <f>SUM(V13:X13)/10^6</f>
        <v>1.9302E-2</v>
      </c>
      <c r="Z13">
        <v>115</v>
      </c>
      <c r="AA13">
        <v>492</v>
      </c>
      <c r="AB13">
        <v>346121</v>
      </c>
      <c r="AC13">
        <f>SUM(Z13:AB13)/10^6</f>
        <v>0.34672799999999998</v>
      </c>
      <c r="AD13">
        <v>110</v>
      </c>
      <c r="AE13">
        <v>119</v>
      </c>
      <c r="AF13">
        <v>8010</v>
      </c>
      <c r="AG13">
        <f>SUM(AD13:AF13)/10^6</f>
        <v>8.2389999999999998E-3</v>
      </c>
    </row>
    <row r="14" spans="1:33">
      <c r="A14">
        <v>1000</v>
      </c>
      <c r="B14">
        <v>1000</v>
      </c>
      <c r="C14" t="s">
        <v>13</v>
      </c>
      <c r="D14">
        <v>0.1</v>
      </c>
      <c r="E14" cm="1">
        <f t="array" ref="E14">10^{-12}</f>
        <v>9.9999999999999998E-13</v>
      </c>
      <c r="F14">
        <v>1</v>
      </c>
      <c r="G14" cm="1">
        <f t="array" ref="G14">10^{-12}</f>
        <v>9.9999999999999998E-13</v>
      </c>
      <c r="H14">
        <v>34538777</v>
      </c>
      <c r="I14" s="2">
        <f>A14+H14</f>
        <v>34539777</v>
      </c>
      <c r="J14">
        <f t="shared" ref="J14" si="9">$A14+$B14*1074</f>
        <v>1075000</v>
      </c>
      <c r="K14">
        <f>$A14+$B14*40</f>
        <v>41000</v>
      </c>
      <c r="L14">
        <f t="shared" si="8"/>
        <v>568000.00000300002</v>
      </c>
      <c r="M14">
        <f>$A14+$B14*13.7837817006</f>
        <v>14783.7817006</v>
      </c>
      <c r="R14">
        <v>99</v>
      </c>
      <c r="S14">
        <v>6019</v>
      </c>
      <c r="T14">
        <v>12313240</v>
      </c>
      <c r="U14">
        <f>SUM(R14:T14)/10^6</f>
        <v>12.319357999999999</v>
      </c>
      <c r="V14">
        <v>109</v>
      </c>
      <c r="W14">
        <v>468</v>
      </c>
      <c r="X14">
        <v>230619</v>
      </c>
      <c r="Y14">
        <f>SUM(V14:X14)/10^6</f>
        <v>0.23119600000000001</v>
      </c>
      <c r="Z14">
        <v>111</v>
      </c>
      <c r="AA14">
        <v>4555</v>
      </c>
      <c r="AB14">
        <v>5594614</v>
      </c>
      <c r="AC14">
        <f t="shared" ref="AC14" si="10">SUM(Z14:AB14)/10^6</f>
        <v>5.5992800000000003</v>
      </c>
      <c r="AD14">
        <v>110</v>
      </c>
      <c r="AE14">
        <v>847</v>
      </c>
      <c r="AF14">
        <v>67624</v>
      </c>
      <c r="AG14">
        <f t="shared" ref="AG14" si="11">SUM(AD14:AF14)/10^6</f>
        <v>6.8581000000000003E-2</v>
      </c>
    </row>
    <row r="15" spans="1:33">
      <c r="A15">
        <v>1000</v>
      </c>
      <c r="B15">
        <v>10000</v>
      </c>
      <c r="C15">
        <f t="shared" ref="C15:C17" si="12">A15</f>
        <v>1000</v>
      </c>
      <c r="D15">
        <v>0.1</v>
      </c>
      <c r="E15" cm="1">
        <f t="array" ref="E15">10^{-12}</f>
        <v>9.9999999999999998E-13</v>
      </c>
      <c r="F15">
        <v>1</v>
      </c>
      <c r="G15" cm="1">
        <f t="array" ref="G15">10^{-12}</f>
        <v>9.9999999999999998E-13</v>
      </c>
      <c r="H15">
        <v>34538777</v>
      </c>
      <c r="I15" s="2">
        <f>A15+H15</f>
        <v>34539777</v>
      </c>
      <c r="J15">
        <f>$A15+$C15*1074</f>
        <v>1075000</v>
      </c>
      <c r="K15">
        <f>$A15+$C15*40</f>
        <v>41000</v>
      </c>
      <c r="L15">
        <f>$A15+$C15*567.000000003</f>
        <v>568000.00000300002</v>
      </c>
      <c r="M15">
        <f>$A15+$C15*13.7837817006</f>
        <v>14783.7817006</v>
      </c>
      <c r="R15">
        <v>131</v>
      </c>
      <c r="S15">
        <v>6013</v>
      </c>
      <c r="T15">
        <v>11719919</v>
      </c>
      <c r="U15">
        <f t="shared" ref="U15:U17" si="13">SUM(R15:T15)/10^6</f>
        <v>11.726063</v>
      </c>
      <c r="V15">
        <v>147</v>
      </c>
      <c r="W15">
        <v>454</v>
      </c>
      <c r="X15">
        <v>230884</v>
      </c>
      <c r="Y15">
        <f t="shared" ref="Y15:Y17" si="14">SUM(V15:X15)/10^6</f>
        <v>0.231485</v>
      </c>
      <c r="Z15">
        <v>134</v>
      </c>
      <c r="AA15">
        <v>4634</v>
      </c>
      <c r="AB15">
        <v>5503095</v>
      </c>
      <c r="AC15">
        <f t="shared" ref="AC15:AC17" si="15">SUM(Z15:AB15)/10^6</f>
        <v>5.5078630000000004</v>
      </c>
      <c r="AD15">
        <v>138</v>
      </c>
      <c r="AE15">
        <v>830</v>
      </c>
      <c r="AF15">
        <v>68644</v>
      </c>
      <c r="AG15">
        <f t="shared" ref="AG15:AG17" si="16">SUM(AD15:AF15)/10^6</f>
        <v>6.9611999999999993E-2</v>
      </c>
    </row>
    <row r="16" spans="1:33">
      <c r="A16">
        <v>1000</v>
      </c>
      <c r="B16">
        <v>100000</v>
      </c>
      <c r="C16">
        <f t="shared" si="12"/>
        <v>1000</v>
      </c>
      <c r="D16">
        <v>0.1</v>
      </c>
      <c r="E16" cm="1">
        <f t="array" ref="E16">10^{-12}</f>
        <v>9.9999999999999998E-13</v>
      </c>
      <c r="F16">
        <v>1</v>
      </c>
      <c r="G16" cm="1">
        <f t="array" ref="G16">10^{-12}</f>
        <v>9.9999999999999998E-13</v>
      </c>
      <c r="H16">
        <v>34538777</v>
      </c>
      <c r="I16" s="2">
        <f>A16+H16</f>
        <v>34539777</v>
      </c>
      <c r="J16">
        <f>$A16+$C16*1074</f>
        <v>1075000</v>
      </c>
      <c r="K16">
        <f t="shared" ref="K16:K17" si="17">$A16+$C16*40</f>
        <v>41000</v>
      </c>
      <c r="L16">
        <f t="shared" ref="L16:L17" si="18">$A16+$C16*567.000000003</f>
        <v>568000.00000300002</v>
      </c>
      <c r="M16">
        <f t="shared" ref="M16:M17" si="19">$A16+$C16*13.7837817006</f>
        <v>14783.7817006</v>
      </c>
      <c r="R16">
        <v>131</v>
      </c>
      <c r="S16">
        <v>6013</v>
      </c>
      <c r="T16">
        <v>11719919</v>
      </c>
      <c r="U16">
        <f t="shared" si="13"/>
        <v>11.726063</v>
      </c>
      <c r="V16">
        <v>147</v>
      </c>
      <c r="W16">
        <v>454</v>
      </c>
      <c r="X16">
        <v>230884</v>
      </c>
      <c r="Y16">
        <f t="shared" si="14"/>
        <v>0.231485</v>
      </c>
      <c r="Z16">
        <v>134</v>
      </c>
      <c r="AA16">
        <v>4634</v>
      </c>
      <c r="AB16">
        <v>5503095</v>
      </c>
      <c r="AC16">
        <f t="shared" si="15"/>
        <v>5.5078630000000004</v>
      </c>
      <c r="AD16">
        <v>138</v>
      </c>
      <c r="AE16">
        <v>830</v>
      </c>
      <c r="AF16">
        <v>68644</v>
      </c>
      <c r="AG16">
        <f t="shared" si="16"/>
        <v>6.9611999999999993E-2</v>
      </c>
    </row>
    <row r="17" spans="1:33">
      <c r="A17">
        <v>1000</v>
      </c>
      <c r="B17">
        <v>1000000</v>
      </c>
      <c r="C17">
        <f t="shared" si="12"/>
        <v>1000</v>
      </c>
      <c r="D17">
        <v>0.1</v>
      </c>
      <c r="E17" cm="1">
        <f t="array" ref="E17">10^{-12}</f>
        <v>9.9999999999999998E-13</v>
      </c>
      <c r="F17">
        <v>1</v>
      </c>
      <c r="G17" cm="1">
        <f t="array" ref="G17">10^{-12}</f>
        <v>9.9999999999999998E-13</v>
      </c>
      <c r="H17">
        <v>34538777</v>
      </c>
      <c r="I17" s="2">
        <f>A17+H17</f>
        <v>34539777</v>
      </c>
      <c r="J17">
        <f>$A17+$C17*1074</f>
        <v>1075000</v>
      </c>
      <c r="K17">
        <f t="shared" si="17"/>
        <v>41000</v>
      </c>
      <c r="L17">
        <f t="shared" si="18"/>
        <v>568000.00000300002</v>
      </c>
      <c r="M17">
        <f t="shared" si="19"/>
        <v>14783.7817006</v>
      </c>
      <c r="R17">
        <v>131</v>
      </c>
      <c r="S17">
        <v>6013</v>
      </c>
      <c r="T17">
        <v>11719919</v>
      </c>
      <c r="U17">
        <f t="shared" si="13"/>
        <v>11.726063</v>
      </c>
      <c r="V17">
        <v>147</v>
      </c>
      <c r="W17">
        <v>454</v>
      </c>
      <c r="X17">
        <v>230884</v>
      </c>
      <c r="Y17">
        <f t="shared" si="14"/>
        <v>0.231485</v>
      </c>
      <c r="Z17">
        <v>134</v>
      </c>
      <c r="AA17">
        <v>4634</v>
      </c>
      <c r="AB17">
        <v>5503095</v>
      </c>
      <c r="AC17">
        <f t="shared" si="15"/>
        <v>5.5078630000000004</v>
      </c>
      <c r="AD17">
        <v>138</v>
      </c>
      <c r="AE17">
        <v>830</v>
      </c>
      <c r="AF17">
        <v>68644</v>
      </c>
      <c r="AG17">
        <f t="shared" si="16"/>
        <v>6.9611999999999993E-2</v>
      </c>
    </row>
    <row r="19" spans="1:33">
      <c r="A19" s="1" t="s">
        <v>30</v>
      </c>
    </row>
    <row r="20" spans="1:33">
      <c r="H20" t="s">
        <v>0</v>
      </c>
      <c r="I20" t="s">
        <v>0</v>
      </c>
      <c r="J20" t="s">
        <v>10</v>
      </c>
      <c r="K20" t="s">
        <v>12</v>
      </c>
      <c r="L20" t="s">
        <v>2</v>
      </c>
      <c r="M20" t="s">
        <v>4</v>
      </c>
    </row>
    <row r="21" spans="1:33">
      <c r="A21" t="s">
        <v>5</v>
      </c>
      <c r="B21" t="s">
        <v>6</v>
      </c>
      <c r="C21" t="s">
        <v>14</v>
      </c>
      <c r="D21" t="s">
        <v>7</v>
      </c>
      <c r="E21" t="s">
        <v>3</v>
      </c>
      <c r="F21" t="s">
        <v>8</v>
      </c>
      <c r="G21" t="s">
        <v>9</v>
      </c>
      <c r="H21" t="s">
        <v>1</v>
      </c>
      <c r="I21" t="s">
        <v>11</v>
      </c>
      <c r="J21" t="s">
        <v>11</v>
      </c>
      <c r="K21" t="s">
        <v>11</v>
      </c>
      <c r="L21" t="s">
        <v>11</v>
      </c>
      <c r="M21" t="s">
        <v>11</v>
      </c>
    </row>
    <row r="22" spans="1:33">
      <c r="A22">
        <v>1000</v>
      </c>
      <c r="B22">
        <v>100</v>
      </c>
      <c r="C22" t="s">
        <v>13</v>
      </c>
      <c r="D22">
        <v>0.1</v>
      </c>
      <c r="E22" cm="1">
        <f t="array" ref="E22">10^{-12}</f>
        <v>9.9999999999999998E-13</v>
      </c>
      <c r="F22">
        <v>1</v>
      </c>
      <c r="G22" cm="1">
        <f t="array" ref="G22">10^{-12}</f>
        <v>9.9999999999999998E-13</v>
      </c>
      <c r="H22">
        <v>3453878</v>
      </c>
      <c r="I22" s="2">
        <f>A22+H22</f>
        <v>3454878</v>
      </c>
      <c r="J22">
        <f>$A22+$B22*1074</f>
        <v>108400</v>
      </c>
      <c r="K22">
        <f>$A22+$B22*40</f>
        <v>5000</v>
      </c>
      <c r="L22">
        <f t="shared" ref="L22" si="20">$A22+$B22*567.000000003</f>
        <v>57700.000000299995</v>
      </c>
      <c r="M22">
        <f>$A22+$B22*13.7837817006</f>
        <v>2378.3781700600002</v>
      </c>
      <c r="R22">
        <v>103</v>
      </c>
      <c r="S22">
        <v>633</v>
      </c>
      <c r="T22">
        <v>740483</v>
      </c>
      <c r="U22">
        <f>SUM(R22:T22)/10^6</f>
        <v>0.74121899999999996</v>
      </c>
      <c r="V22">
        <v>108</v>
      </c>
      <c r="W22">
        <v>80</v>
      </c>
      <c r="X22">
        <v>19125</v>
      </c>
      <c r="Y22">
        <f>SUM(V22:X22)/10^6</f>
        <v>1.9313E-2</v>
      </c>
      <c r="Z22">
        <v>111</v>
      </c>
      <c r="AA22">
        <v>519</v>
      </c>
      <c r="AB22">
        <v>345518</v>
      </c>
      <c r="AC22">
        <f>SUM(Z22:AB22)/10^6</f>
        <v>0.34614800000000001</v>
      </c>
      <c r="AD22">
        <v>107</v>
      </c>
      <c r="AE22">
        <v>123</v>
      </c>
      <c r="AF22">
        <v>8032</v>
      </c>
      <c r="AG22">
        <f>SUM(AD22:AF22)/10^6</f>
        <v>8.2620000000000002E-3</v>
      </c>
    </row>
    <row r="23" spans="1:33">
      <c r="A23">
        <v>1000</v>
      </c>
      <c r="B23">
        <v>1000</v>
      </c>
      <c r="C23">
        <f>A23/10</f>
        <v>100</v>
      </c>
      <c r="D23">
        <v>0.1</v>
      </c>
      <c r="E23" cm="1">
        <f t="array" ref="E23">10^{-12}</f>
        <v>9.9999999999999998E-13</v>
      </c>
      <c r="F23">
        <v>1</v>
      </c>
      <c r="G23" cm="1">
        <f t="array" ref="G23">10^{-12}</f>
        <v>9.9999999999999998E-13</v>
      </c>
      <c r="H23">
        <v>3453878</v>
      </c>
      <c r="I23" s="2">
        <f>A23+H23</f>
        <v>3454878</v>
      </c>
      <c r="J23">
        <f>$A23+$C23*1074</f>
        <v>108400</v>
      </c>
      <c r="K23">
        <f>$A23+$C23*40</f>
        <v>5000</v>
      </c>
      <c r="L23">
        <f>$A23+$C23*567.000000003</f>
        <v>57700.000000299995</v>
      </c>
      <c r="M23">
        <f>$A23+$C23*13.7837817006</f>
        <v>2378.3781700600002</v>
      </c>
      <c r="R23">
        <v>119</v>
      </c>
      <c r="S23">
        <v>581</v>
      </c>
      <c r="T23">
        <v>732547</v>
      </c>
      <c r="U23">
        <f>SUM(R23:T23)/10^6</f>
        <v>0.73324699999999998</v>
      </c>
      <c r="V23">
        <v>113</v>
      </c>
      <c r="W23">
        <v>59</v>
      </c>
      <c r="X23">
        <v>18825</v>
      </c>
      <c r="Y23">
        <f>SUM(V23:X23)/10^6</f>
        <v>1.8997E-2</v>
      </c>
      <c r="Z23">
        <v>138</v>
      </c>
      <c r="AA23">
        <v>477</v>
      </c>
      <c r="AB23">
        <v>348181</v>
      </c>
      <c r="AC23">
        <f>SUM(Z23:AB23)/10^6</f>
        <v>0.34879599999999999</v>
      </c>
      <c r="AD23">
        <v>135</v>
      </c>
      <c r="AE23">
        <v>99</v>
      </c>
      <c r="AF23">
        <v>7867</v>
      </c>
      <c r="AG23">
        <f>SUM(AD23:AF23)/10^6</f>
        <v>8.1010000000000006E-3</v>
      </c>
    </row>
    <row r="24" spans="1:33">
      <c r="A24">
        <v>1000</v>
      </c>
      <c r="B24">
        <v>10000</v>
      </c>
      <c r="C24">
        <f>A24/10</f>
        <v>100</v>
      </c>
      <c r="D24">
        <v>0.1</v>
      </c>
      <c r="E24" cm="1">
        <f t="array" ref="E24">10^{-12}</f>
        <v>9.9999999999999998E-13</v>
      </c>
      <c r="F24">
        <v>1</v>
      </c>
      <c r="G24" cm="1">
        <f t="array" ref="G24">10^{-12}</f>
        <v>9.9999999999999998E-13</v>
      </c>
      <c r="H24">
        <v>3453878</v>
      </c>
      <c r="I24" s="2">
        <f>A24+H24</f>
        <v>3454878</v>
      </c>
      <c r="J24">
        <f>$A24+$C24*1074</f>
        <v>108400</v>
      </c>
      <c r="K24">
        <f>$A24+$C24*40</f>
        <v>5000</v>
      </c>
      <c r="L24">
        <f t="shared" ref="L24:L26" si="21">$A24+$C24*567.000000003</f>
        <v>57700.000000299995</v>
      </c>
      <c r="M24">
        <f t="shared" ref="M24:M25" si="22">$A24+$C24*13.7837817006</f>
        <v>2378.3781700600002</v>
      </c>
      <c r="R24">
        <v>119</v>
      </c>
      <c r="S24">
        <v>581</v>
      </c>
      <c r="T24">
        <v>732547</v>
      </c>
      <c r="U24">
        <f t="shared" ref="U24:U26" si="23">SUM(R24:T24)/10^6</f>
        <v>0.73324699999999998</v>
      </c>
      <c r="V24">
        <v>113</v>
      </c>
      <c r="W24">
        <v>59</v>
      </c>
      <c r="X24">
        <v>18825</v>
      </c>
      <c r="Y24">
        <f t="shared" ref="Y24:Y26" si="24">SUM(V24:X24)/10^6</f>
        <v>1.8997E-2</v>
      </c>
      <c r="Z24">
        <v>138</v>
      </c>
      <c r="AA24">
        <v>477</v>
      </c>
      <c r="AB24">
        <v>348181</v>
      </c>
      <c r="AC24">
        <f t="shared" ref="AC24:AC26" si="25">SUM(Z24:AB24)/10^6</f>
        <v>0.34879599999999999</v>
      </c>
      <c r="AD24">
        <v>135</v>
      </c>
      <c r="AE24">
        <v>99</v>
      </c>
      <c r="AF24">
        <v>7867</v>
      </c>
      <c r="AG24">
        <f t="shared" ref="AG24:AG26" si="26">SUM(AD24:AF24)/10^6</f>
        <v>8.1010000000000006E-3</v>
      </c>
    </row>
    <row r="25" spans="1:33">
      <c r="A25">
        <v>1000</v>
      </c>
      <c r="B25">
        <v>100000</v>
      </c>
      <c r="C25">
        <f t="shared" ref="C25:C26" si="27">A25/10</f>
        <v>100</v>
      </c>
      <c r="D25">
        <v>0.1</v>
      </c>
      <c r="E25" cm="1">
        <f t="array" ref="E25">10^{-12}</f>
        <v>9.9999999999999998E-13</v>
      </c>
      <c r="F25">
        <v>1</v>
      </c>
      <c r="G25" cm="1">
        <f t="array" ref="G25">10^{-12}</f>
        <v>9.9999999999999998E-13</v>
      </c>
      <c r="H25">
        <v>3453878</v>
      </c>
      <c r="I25" s="2">
        <f>A25+H25</f>
        <v>3454878</v>
      </c>
      <c r="J25">
        <f>$A25+$C25*1074</f>
        <v>108400</v>
      </c>
      <c r="K25">
        <f t="shared" ref="K25:K26" si="28">$A25+$C25*40</f>
        <v>5000</v>
      </c>
      <c r="L25">
        <f t="shared" si="21"/>
        <v>57700.000000299995</v>
      </c>
      <c r="M25">
        <f t="shared" si="22"/>
        <v>2378.3781700600002</v>
      </c>
      <c r="R25">
        <v>119</v>
      </c>
      <c r="S25">
        <v>581</v>
      </c>
      <c r="T25">
        <v>732547</v>
      </c>
      <c r="U25">
        <f t="shared" si="23"/>
        <v>0.73324699999999998</v>
      </c>
      <c r="V25">
        <v>113</v>
      </c>
      <c r="W25">
        <v>59</v>
      </c>
      <c r="X25">
        <v>18825</v>
      </c>
      <c r="Y25">
        <f t="shared" si="24"/>
        <v>1.8997E-2</v>
      </c>
      <c r="Z25">
        <v>138</v>
      </c>
      <c r="AA25">
        <v>477</v>
      </c>
      <c r="AB25">
        <v>348181</v>
      </c>
      <c r="AC25">
        <f t="shared" si="25"/>
        <v>0.34879599999999999</v>
      </c>
      <c r="AD25">
        <v>135</v>
      </c>
      <c r="AE25">
        <v>99</v>
      </c>
      <c r="AF25">
        <v>7867</v>
      </c>
      <c r="AG25">
        <f t="shared" si="26"/>
        <v>8.1010000000000006E-3</v>
      </c>
    </row>
    <row r="26" spans="1:33">
      <c r="A26">
        <v>1000</v>
      </c>
      <c r="B26">
        <v>1000000</v>
      </c>
      <c r="C26">
        <f t="shared" si="27"/>
        <v>100</v>
      </c>
      <c r="D26">
        <v>0.1</v>
      </c>
      <c r="E26" cm="1">
        <f t="array" ref="E26">10^{-12}</f>
        <v>9.9999999999999998E-13</v>
      </c>
      <c r="F26">
        <v>1</v>
      </c>
      <c r="G26" cm="1">
        <f t="array" ref="G26">10^{-12}</f>
        <v>9.9999999999999998E-13</v>
      </c>
      <c r="H26">
        <v>3453878</v>
      </c>
      <c r="I26" s="2">
        <f>A26+H26</f>
        <v>3454878</v>
      </c>
      <c r="J26">
        <f>$A26+$C26*1074</f>
        <v>108400</v>
      </c>
      <c r="K26">
        <f t="shared" si="28"/>
        <v>5000</v>
      </c>
      <c r="L26">
        <f t="shared" si="21"/>
        <v>57700.000000299995</v>
      </c>
      <c r="M26">
        <f>$A26+$C26*13.7837817006</f>
        <v>2378.3781700600002</v>
      </c>
      <c r="R26">
        <v>119</v>
      </c>
      <c r="S26">
        <v>581</v>
      </c>
      <c r="T26">
        <v>732547</v>
      </c>
      <c r="U26">
        <f t="shared" si="23"/>
        <v>0.73324699999999998</v>
      </c>
      <c r="V26">
        <v>113</v>
      </c>
      <c r="W26">
        <v>59</v>
      </c>
      <c r="X26">
        <v>18825</v>
      </c>
      <c r="Y26">
        <f t="shared" si="24"/>
        <v>1.8997E-2</v>
      </c>
      <c r="Z26">
        <v>138</v>
      </c>
      <c r="AA26">
        <v>477</v>
      </c>
      <c r="AB26">
        <v>348181</v>
      </c>
      <c r="AC26">
        <f t="shared" si="25"/>
        <v>0.34879599999999999</v>
      </c>
      <c r="AD26">
        <v>135</v>
      </c>
      <c r="AE26">
        <v>99</v>
      </c>
      <c r="AF26">
        <v>7867</v>
      </c>
      <c r="AG26">
        <f t="shared" si="26"/>
        <v>8.1010000000000006E-3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results</vt:lpstr>
      <vt:lpstr>details</vt:lpstr>
      <vt:lpstr>details (Sasy-OR)</vt:lpstr>
      <vt:lpstr>details (Sasy-Waks)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Takao Murakami</dc:creator>
  <cp:lastModifiedBy>Takao Murakami</cp:lastModifiedBy>
  <dcterms:created xsi:type="dcterms:W3CDTF">2025-12-01T12:48:44Z</dcterms:created>
  <dcterms:modified xsi:type="dcterms:W3CDTF">2026-01-28T02:26:04Z</dcterms:modified>
</cp:coreProperties>
</file>